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g/Desktop/"/>
    </mc:Choice>
  </mc:AlternateContent>
  <xr:revisionPtr revIDLastSave="0" documentId="8_{E4CFF8FC-55BF-C14F-BF36-76CE8B7E4B05}" xr6:coauthVersionLast="47" xr6:coauthVersionMax="47" xr10:uidLastSave="{00000000-0000-0000-0000-000000000000}"/>
  <bookViews>
    <workbookView xWindow="2480" yWindow="500" windowWidth="16980" windowHeight="16460" firstSheet="15" activeTab="20" xr2:uid="{CECC238B-C0B2-4BF5-BD09-63B741DE5836}"/>
  </bookViews>
  <sheets>
    <sheet name="Data" sheetId="1" r:id="rId1"/>
    <sheet name="4.a" sheetId="17" r:id="rId2"/>
    <sheet name="5" sheetId="18" r:id="rId3"/>
    <sheet name="Sample" sheetId="2" r:id="rId4"/>
    <sheet name="Sheet5" sheetId="6" r:id="rId5"/>
    <sheet name="sqr foot sales" sheetId="3" r:id="rId6"/>
    <sheet name="Sqr foot summary" sheetId="7" r:id="rId7"/>
    <sheet name="employee sales" sheetId="4" r:id="rId8"/>
    <sheet name="employee sales summary" sheetId="8" r:id="rId9"/>
    <sheet name="overhead sales summary" sheetId="9" r:id="rId10"/>
    <sheet name="overhead residual" sheetId="10" r:id="rId11"/>
    <sheet name="log residual" sheetId="11" r:id="rId12"/>
    <sheet name="Sheet11" sheetId="12" r:id="rId13"/>
    <sheet name="3a" sheetId="13" r:id="rId14"/>
    <sheet name="Sheet13" sheetId="14" r:id="rId15"/>
    <sheet name="ln overhead fixed" sheetId="15" r:id="rId16"/>
    <sheet name="Sheet15" sheetId="16" r:id="rId17"/>
    <sheet name="Sales by Overhead" sheetId="19" r:id="rId18"/>
    <sheet name="3a fixed" sheetId="20" r:id="rId19"/>
    <sheet name="Sheet3" sheetId="21" r:id="rId20"/>
    <sheet name="3b fixed" sheetId="22" r:id="rId21"/>
    <sheet name="overhead sales" sheetId="5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C3" i="5"/>
  <c r="C4" i="5"/>
  <c r="C5" i="5"/>
  <c r="C6" i="5"/>
  <c r="E6" i="5" s="1"/>
  <c r="C7" i="5"/>
  <c r="E7" i="5" s="1"/>
  <c r="C8" i="5"/>
  <c r="E8" i="5" s="1"/>
  <c r="C9" i="5"/>
  <c r="E9" i="5" s="1"/>
  <c r="C10" i="5"/>
  <c r="C11" i="5"/>
  <c r="C12" i="5"/>
  <c r="C13" i="5"/>
  <c r="C14" i="5"/>
  <c r="E14" i="5" s="1"/>
  <c r="C15" i="5"/>
  <c r="E15" i="5" s="1"/>
  <c r="C16" i="5"/>
  <c r="E16" i="5" s="1"/>
  <c r="C17" i="5"/>
  <c r="E17" i="5" s="1"/>
  <c r="C18" i="5"/>
  <c r="C19" i="5"/>
  <c r="C20" i="5"/>
  <c r="C21" i="5"/>
  <c r="C22" i="5"/>
  <c r="E22" i="5" s="1"/>
  <c r="C23" i="5"/>
  <c r="E23" i="5" s="1"/>
  <c r="C24" i="5"/>
  <c r="E24" i="5" s="1"/>
  <c r="C25" i="5"/>
  <c r="E25" i="5" s="1"/>
  <c r="C26" i="5"/>
  <c r="C27" i="5"/>
  <c r="C28" i="5"/>
  <c r="C29" i="5"/>
  <c r="C30" i="5"/>
  <c r="E30" i="5" s="1"/>
  <c r="C31" i="5"/>
  <c r="E31" i="5" s="1"/>
  <c r="C32" i="5"/>
  <c r="E32" i="5" s="1"/>
  <c r="C33" i="5"/>
  <c r="E33" i="5" s="1"/>
  <c r="C34" i="5"/>
  <c r="C35" i="5"/>
  <c r="C36" i="5"/>
  <c r="C37" i="5"/>
  <c r="C38" i="5"/>
  <c r="E38" i="5" s="1"/>
  <c r="C39" i="5"/>
  <c r="E39" i="5" s="1"/>
  <c r="C40" i="5"/>
  <c r="E40" i="5" s="1"/>
  <c r="C41" i="5"/>
  <c r="E41" i="5" s="1"/>
  <c r="C42" i="5"/>
  <c r="C43" i="5"/>
  <c r="C44" i="5"/>
  <c r="C45" i="5"/>
  <c r="C46" i="5"/>
  <c r="E46" i="5" s="1"/>
  <c r="C47" i="5"/>
  <c r="E47" i="5" s="1"/>
  <c r="C48" i="5"/>
  <c r="E48" i="5" s="1"/>
  <c r="C49" i="5"/>
  <c r="E49" i="5" s="1"/>
  <c r="C50" i="5"/>
  <c r="C51" i="5"/>
  <c r="C52" i="5"/>
  <c r="C53" i="5"/>
  <c r="C54" i="5"/>
  <c r="E54" i="5" s="1"/>
  <c r="C55" i="5"/>
  <c r="E55" i="5" s="1"/>
  <c r="C56" i="5"/>
  <c r="E56" i="5" s="1"/>
  <c r="C57" i="5"/>
  <c r="E57" i="5" s="1"/>
  <c r="C58" i="5"/>
  <c r="C59" i="5"/>
  <c r="C60" i="5"/>
  <c r="C61" i="5"/>
  <c r="C62" i="5"/>
  <c r="E62" i="5" s="1"/>
  <c r="C63" i="5"/>
  <c r="E63" i="5" s="1"/>
  <c r="C64" i="5"/>
  <c r="E64" i="5" s="1"/>
  <c r="C65" i="5"/>
  <c r="E65" i="5" s="1"/>
  <c r="C66" i="5"/>
  <c r="C67" i="5"/>
  <c r="C68" i="5"/>
  <c r="C69" i="5"/>
  <c r="C70" i="5"/>
  <c r="E70" i="5" s="1"/>
  <c r="C71" i="5"/>
  <c r="E71" i="5" s="1"/>
  <c r="C72" i="5"/>
  <c r="E72" i="5" s="1"/>
  <c r="C73" i="5"/>
  <c r="E73" i="5" s="1"/>
  <c r="C74" i="5"/>
  <c r="C75" i="5"/>
  <c r="C76" i="5"/>
  <c r="C77" i="5"/>
  <c r="C78" i="5"/>
  <c r="E78" i="5" s="1"/>
  <c r="C79" i="5"/>
  <c r="E79" i="5" s="1"/>
  <c r="C80" i="5"/>
  <c r="E80" i="5" s="1"/>
  <c r="C81" i="5"/>
  <c r="C2" i="5"/>
  <c r="H2" i="5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F41" i="4" s="1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25" i="17"/>
  <c r="F24" i="15"/>
  <c r="E24" i="15"/>
  <c r="E21" i="15"/>
  <c r="D21" i="15"/>
  <c r="E81" i="5"/>
  <c r="E3" i="5"/>
  <c r="E4" i="5"/>
  <c r="E5" i="5"/>
  <c r="E10" i="5"/>
  <c r="E11" i="5"/>
  <c r="E12" i="5"/>
  <c r="E13" i="5"/>
  <c r="E18" i="5"/>
  <c r="E19" i="5"/>
  <c r="E20" i="5"/>
  <c r="E21" i="5"/>
  <c r="E26" i="5"/>
  <c r="E27" i="5"/>
  <c r="E28" i="5"/>
  <c r="E29" i="5"/>
  <c r="E34" i="5"/>
  <c r="E35" i="5"/>
  <c r="E36" i="5"/>
  <c r="E37" i="5"/>
  <c r="E42" i="5"/>
  <c r="E43" i="5"/>
  <c r="E44" i="5"/>
  <c r="E45" i="5"/>
  <c r="E50" i="5"/>
  <c r="E51" i="5"/>
  <c r="E52" i="5"/>
  <c r="E53" i="5"/>
  <c r="E58" i="5"/>
  <c r="E59" i="5"/>
  <c r="E60" i="5"/>
  <c r="E61" i="5"/>
  <c r="E66" i="5"/>
  <c r="E67" i="5"/>
  <c r="E68" i="5"/>
  <c r="E69" i="5"/>
  <c r="E74" i="5"/>
  <c r="E75" i="5"/>
  <c r="E76" i="5"/>
  <c r="E77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D22" i="11"/>
  <c r="D21" i="11"/>
  <c r="F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J29" i="5"/>
  <c r="D20" i="10"/>
  <c r="E20" i="10"/>
  <c r="H41" i="4"/>
  <c r="G81" i="3"/>
  <c r="D2" i="3"/>
  <c r="C2" i="3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2" i="5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</calcChain>
</file>

<file path=xl/sharedStrings.xml><?xml version="1.0" encoding="utf-8"?>
<sst xmlns="http://schemas.openxmlformats.org/spreadsheetml/2006/main" count="494" uniqueCount="62">
  <si>
    <t>Location</t>
  </si>
  <si>
    <t>Sqr Foot (000)</t>
  </si>
  <si>
    <t>Employees</t>
  </si>
  <si>
    <t>Overhead ($000)</t>
  </si>
  <si>
    <t>Sales ($000)</t>
  </si>
  <si>
    <t>random number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</si>
  <si>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</si>
  <si>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</si>
  <si>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</si>
  <si>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</si>
  <si>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</si>
  <si>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</si>
  <si>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</si>
  <si>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</si>
  <si>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</si>
  <si>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</si>
  <si>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</si>
  <si>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</si>
  <si>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</si>
  <si>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</si>
  <si>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</si>
  <si>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</si>
  <si>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</si>
  <si>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</si>
  <si>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</si>
  <si>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</si>
  <si>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</si>
  <si>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</si>
  <si>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</si>
  <si>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</si>
  <si>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real number</t>
  </si>
  <si>
    <t>sales correct</t>
  </si>
  <si>
    <t>Sales</t>
  </si>
  <si>
    <t>correl function</t>
  </si>
  <si>
    <t>R value</t>
  </si>
  <si>
    <t>correl</t>
  </si>
  <si>
    <t>correl original</t>
  </si>
  <si>
    <t>Revenue by Overhead</t>
  </si>
  <si>
    <t>Lower 90.0%</t>
  </si>
  <si>
    <t>Upper 90.0%</t>
  </si>
  <si>
    <t>RESIDUAL OUTPUT</t>
  </si>
  <si>
    <t>Observation</t>
  </si>
  <si>
    <t>Predicted Sales</t>
  </si>
  <si>
    <t>Residuals</t>
  </si>
  <si>
    <t>Overhead natural log</t>
  </si>
  <si>
    <t>overhead</t>
  </si>
  <si>
    <t xml:space="preserve">overhead quadratic </t>
  </si>
  <si>
    <t>intercept</t>
  </si>
  <si>
    <t>2a</t>
  </si>
  <si>
    <t>R squared</t>
  </si>
  <si>
    <t>coefficents significant</t>
  </si>
  <si>
    <t>1 out of 1</t>
  </si>
  <si>
    <t>3a</t>
  </si>
  <si>
    <t>0 out of 2</t>
  </si>
  <si>
    <t>3b</t>
  </si>
  <si>
    <t>4a</t>
  </si>
  <si>
    <t>1 out of 3</t>
  </si>
  <si>
    <t>Sales by Overhead</t>
  </si>
  <si>
    <t>in thousands of dollars</t>
  </si>
  <si>
    <t>Overhead quadratic in thousands of dollars</t>
  </si>
  <si>
    <t>linear quadratic regression</t>
  </si>
  <si>
    <t>Overhead ($000)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</si>
</sst>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64" formatCode="0.0"/>
    <numFmt numFmtId="165" formatCode="&quot;$&quot;#,##0"/>
    <numFmt numFmtId="166" formatCode="0.0000000000"/>
    <numFmt numFmtId="167" formatCode="&quot;$&quot;#,##0.00000000000000000000"/>
    <numFmt numFmtId="168" formatCode="&quot;$&quot;#,##0.0000000"/>
    <numFmt numFmtId="169" formatCode="&quot;$&quot;#,##0.0"/>
  </numFmts>
  <fonts count="8" x14ac:knownFonts="1"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i/>
      <sz val="10"/>
      <color rgb="FFFF0000"/>
      <name val="Arial"/>
      <family val="2"/>
    </font>
    <font>
      <i/>
      <sz val="10"/>
      <name val="Arial"/>
      <family val="2"/>
    </font>
    <font>
      <sz val="10"/>
      <name val="Arial Unicode MS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horizontal="right"/>
    </xf>
    <xf numFmtId="0" fontId="1" fillId="0" borderId="0" xfId="0" applyFont="1"/>
    <xf numFmtId="3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49" fontId="7" fillId="0" borderId="0" xfId="0" applyNumberFormat="1" applyFont="1" applyAlignment="1">
      <alignment horizontal="right"/>
    </xf>
    <xf numFmtId="0" fontId="0" fillId="0" borderId="2" xfId="0" applyBorder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Continuous"/>
    </xf>
    <xf numFmtId="41" fontId="7" fillId="0" borderId="0" xfId="0" applyNumberFormat="1" applyFont="1" applyAlignment="1">
      <alignment horizontal="right"/>
    </xf>
    <xf numFmtId="41" fontId="0" fillId="0" borderId="0" xfId="0" applyNumberFormat="1"/>
    <xf numFmtId="165" fontId="7" fillId="0" borderId="0" xfId="0" applyNumberFormat="1" applyFont="1" applyAlignment="1">
      <alignment horizontal="right"/>
    </xf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5" fillId="3" borderId="3" xfId="0" applyFont="1" applyFill="1" applyBorder="1" applyAlignment="1">
      <alignment horizontal="centerContinuous"/>
    </xf>
    <xf numFmtId="0" fontId="0" fillId="3" borderId="2" xfId="0" applyFill="1" applyBorder="1"/>
    <xf numFmtId="0" fontId="5" fillId="3" borderId="3" xfId="0" applyFont="1" applyFill="1" applyBorder="1" applyAlignment="1">
      <alignment horizontal="center"/>
    </xf>
    <xf numFmtId="0" fontId="0" fillId="3" borderId="4" xfId="0" applyFill="1" applyBorder="1"/>
    <xf numFmtId="0" fontId="0" fillId="3" borderId="1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5" fillId="3" borderId="8" xfId="0" applyFont="1" applyFill="1" applyBorder="1" applyAlignment="1">
      <alignment horizontal="centerContinuous"/>
    </xf>
    <xf numFmtId="0" fontId="0" fillId="3" borderId="9" xfId="0" applyFill="1" applyBorder="1"/>
    <xf numFmtId="0" fontId="5" fillId="3" borderId="8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0" fillId="3" borderId="11" xfId="0" applyFill="1" applyBorder="1"/>
    <xf numFmtId="0" fontId="0" fillId="4" borderId="0" xfId="0" applyFill="1"/>
    <xf numFmtId="0" fontId="5" fillId="4" borderId="3" xfId="0" applyFont="1" applyFill="1" applyBorder="1" applyAlignment="1">
      <alignment horizontal="centerContinuous"/>
    </xf>
    <xf numFmtId="0" fontId="0" fillId="4" borderId="2" xfId="0" applyFill="1" applyBorder="1"/>
    <xf numFmtId="0" fontId="5" fillId="4" borderId="3" xfId="0" applyFont="1" applyFill="1" applyBorder="1" applyAlignment="1">
      <alignment horizontal="center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" fontId="0" fillId="2" borderId="0" xfId="0" applyNumberFormat="1" applyFill="1"/>
    <xf numFmtId="0" fontId="0" fillId="0" borderId="0" xfId="0" applyFill="1" applyBorder="1" applyAlignment="1"/>
    <xf numFmtId="0" fontId="0" fillId="0" borderId="2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4" borderId="0" xfId="0" applyFill="1" applyBorder="1" applyAlignment="1"/>
    <xf numFmtId="0" fontId="0" fillId="4" borderId="2" xfId="0" applyFill="1" applyBorder="1" applyAlignment="1"/>
    <xf numFmtId="0" fontId="0" fillId="3" borderId="0" xfId="0" applyFill="1" applyBorder="1" applyAlignment="1"/>
    <xf numFmtId="0" fontId="0" fillId="3" borderId="2" xfId="0" applyFill="1" applyBorder="1" applyAlignme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</a:rPr>
              <a:t>Sales by Square Footage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'sqr foot sales'!$D$1</c:f>
              <c:strCache>
                <c:ptCount val="1"/>
                <c:pt idx="0">
                  <c:v>real number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'sqr foot sales'!$C$2:$C$81</c:f>
              <c:numCache>
                <c:formatCode>_(* #,##0_);_(* \(#,##0\);_(* "-"_);_(@_)</c:formatCode>
                <c:ptCount val="80"/>
                <c:pt idx="0">
                  <c:v>5250</c:v>
                </c:pt>
                <c:pt idx="1">
                  <c:v>2720</c:v>
                </c:pt>
                <c:pt idx="2">
                  <c:v>1610</c:v>
                </c:pt>
                <c:pt idx="3">
                  <c:v>2740</c:v>
                </c:pt>
                <c:pt idx="4">
                  <c:v>1210</c:v>
                </c:pt>
                <c:pt idx="5">
                  <c:v>910</c:v>
                </c:pt>
                <c:pt idx="6">
                  <c:v>3080</c:v>
                </c:pt>
                <c:pt idx="7">
                  <c:v>1420</c:v>
                </c:pt>
                <c:pt idx="8">
                  <c:v>2760</c:v>
                </c:pt>
                <c:pt idx="9">
                  <c:v>1780</c:v>
                </c:pt>
                <c:pt idx="10">
                  <c:v>1120</c:v>
                </c:pt>
                <c:pt idx="11">
                  <c:v>3600</c:v>
                </c:pt>
                <c:pt idx="12">
                  <c:v>2200</c:v>
                </c:pt>
                <c:pt idx="13">
                  <c:v>2560</c:v>
                </c:pt>
                <c:pt idx="14">
                  <c:v>3390</c:v>
                </c:pt>
                <c:pt idx="15">
                  <c:v>2100</c:v>
                </c:pt>
                <c:pt idx="16">
                  <c:v>1870</c:v>
                </c:pt>
                <c:pt idx="17">
                  <c:v>930</c:v>
                </c:pt>
                <c:pt idx="18">
                  <c:v>3190</c:v>
                </c:pt>
                <c:pt idx="19">
                  <c:v>1960</c:v>
                </c:pt>
                <c:pt idx="20">
                  <c:v>3460</c:v>
                </c:pt>
                <c:pt idx="21">
                  <c:v>2290</c:v>
                </c:pt>
                <c:pt idx="22">
                  <c:v>3050</c:v>
                </c:pt>
                <c:pt idx="23">
                  <c:v>1720</c:v>
                </c:pt>
                <c:pt idx="24">
                  <c:v>4000</c:v>
                </c:pt>
                <c:pt idx="25">
                  <c:v>2710</c:v>
                </c:pt>
                <c:pt idx="26">
                  <c:v>2320</c:v>
                </c:pt>
                <c:pt idx="27">
                  <c:v>760</c:v>
                </c:pt>
                <c:pt idx="28">
                  <c:v>4720</c:v>
                </c:pt>
                <c:pt idx="29">
                  <c:v>1510</c:v>
                </c:pt>
                <c:pt idx="30">
                  <c:v>1240</c:v>
                </c:pt>
                <c:pt idx="31">
                  <c:v>3030</c:v>
                </c:pt>
                <c:pt idx="32">
                  <c:v>1870</c:v>
                </c:pt>
                <c:pt idx="33">
                  <c:v>2230</c:v>
                </c:pt>
                <c:pt idx="34">
                  <c:v>1570</c:v>
                </c:pt>
                <c:pt idx="35">
                  <c:v>4770</c:v>
                </c:pt>
                <c:pt idx="36">
                  <c:v>1870</c:v>
                </c:pt>
                <c:pt idx="37">
                  <c:v>890</c:v>
                </c:pt>
                <c:pt idx="38">
                  <c:v>3780</c:v>
                </c:pt>
                <c:pt idx="39">
                  <c:v>2740</c:v>
                </c:pt>
                <c:pt idx="40">
                  <c:v>1000</c:v>
                </c:pt>
                <c:pt idx="41">
                  <c:v>2250</c:v>
                </c:pt>
                <c:pt idx="42">
                  <c:v>2390</c:v>
                </c:pt>
                <c:pt idx="43">
                  <c:v>3760</c:v>
                </c:pt>
                <c:pt idx="44">
                  <c:v>1240</c:v>
                </c:pt>
                <c:pt idx="45">
                  <c:v>2020</c:v>
                </c:pt>
                <c:pt idx="46">
                  <c:v>4540</c:v>
                </c:pt>
                <c:pt idx="47">
                  <c:v>1610</c:v>
                </c:pt>
                <c:pt idx="48">
                  <c:v>2620</c:v>
                </c:pt>
                <c:pt idx="49">
                  <c:v>1090</c:v>
                </c:pt>
                <c:pt idx="50">
                  <c:v>5010</c:v>
                </c:pt>
                <c:pt idx="51">
                  <c:v>3280</c:v>
                </c:pt>
                <c:pt idx="52">
                  <c:v>1150</c:v>
                </c:pt>
                <c:pt idx="53">
                  <c:v>1360</c:v>
                </c:pt>
                <c:pt idx="54">
                  <c:v>2110</c:v>
                </c:pt>
                <c:pt idx="55">
                  <c:v>1900</c:v>
                </c:pt>
                <c:pt idx="56">
                  <c:v>1960</c:v>
                </c:pt>
                <c:pt idx="57">
                  <c:v>4000</c:v>
                </c:pt>
                <c:pt idx="58">
                  <c:v>4450</c:v>
                </c:pt>
                <c:pt idx="59">
                  <c:v>1540</c:v>
                </c:pt>
                <c:pt idx="60">
                  <c:v>2620</c:v>
                </c:pt>
                <c:pt idx="61">
                  <c:v>3040</c:v>
                </c:pt>
                <c:pt idx="62">
                  <c:v>3430</c:v>
                </c:pt>
                <c:pt idx="63">
                  <c:v>520</c:v>
                </c:pt>
                <c:pt idx="64">
                  <c:v>1050</c:v>
                </c:pt>
                <c:pt idx="65">
                  <c:v>880</c:v>
                </c:pt>
                <c:pt idx="66">
                  <c:v>1990</c:v>
                </c:pt>
                <c:pt idx="67">
                  <c:v>3070</c:v>
                </c:pt>
                <c:pt idx="68">
                  <c:v>1960</c:v>
                </c:pt>
                <c:pt idx="69">
                  <c:v>2200</c:v>
                </c:pt>
                <c:pt idx="70">
                  <c:v>2350</c:v>
                </c:pt>
                <c:pt idx="71">
                  <c:v>4900</c:v>
                </c:pt>
                <c:pt idx="72">
                  <c:v>3170</c:v>
                </c:pt>
                <c:pt idx="73">
                  <c:v>1870</c:v>
                </c:pt>
                <c:pt idx="74">
                  <c:v>3520</c:v>
                </c:pt>
                <c:pt idx="75">
                  <c:v>2180</c:v>
                </c:pt>
                <c:pt idx="76">
                  <c:v>2770</c:v>
                </c:pt>
                <c:pt idx="77">
                  <c:v>1330</c:v>
                </c:pt>
                <c:pt idx="78">
                  <c:v>3170</c:v>
                </c:pt>
                <c:pt idx="79">
                  <c:v>2740</c:v>
                </c:pt>
              </c:numCache>
            </c:numRef>
          </c:xVal>
          <c:yVal>
            <c:numRef>
              <c:f>'sqr foot sales'!$D$2:$D$81</c:f>
              <c:numCache>
                <c:formatCode>"$"#,##0</c:formatCode>
                <c:ptCount val="80"/>
                <c:pt idx="0">
                  <c:v>1012000</c:v>
                </c:pt>
                <c:pt idx="1">
                  <c:v>247000</c:v>
                </c:pt>
                <c:pt idx="2">
                  <c:v>235000</c:v>
                </c:pt>
                <c:pt idx="3">
                  <c:v>79000</c:v>
                </c:pt>
                <c:pt idx="4">
                  <c:v>123000</c:v>
                </c:pt>
                <c:pt idx="5">
                  <c:v>65000</c:v>
                </c:pt>
                <c:pt idx="6">
                  <c:v>630000</c:v>
                </c:pt>
                <c:pt idx="7">
                  <c:v>501000</c:v>
                </c:pt>
                <c:pt idx="8">
                  <c:v>200000</c:v>
                </c:pt>
                <c:pt idx="9">
                  <c:v>579000</c:v>
                </c:pt>
                <c:pt idx="10">
                  <c:v>511000</c:v>
                </c:pt>
                <c:pt idx="11">
                  <c:v>587000</c:v>
                </c:pt>
                <c:pt idx="12">
                  <c:v>399000</c:v>
                </c:pt>
                <c:pt idx="13">
                  <c:v>235000</c:v>
                </c:pt>
                <c:pt idx="14">
                  <c:v>1867000</c:v>
                </c:pt>
                <c:pt idx="15">
                  <c:v>230000</c:v>
                </c:pt>
                <c:pt idx="16">
                  <c:v>88000</c:v>
                </c:pt>
                <c:pt idx="17">
                  <c:v>162000</c:v>
                </c:pt>
                <c:pt idx="18">
                  <c:v>1766000</c:v>
                </c:pt>
                <c:pt idx="19">
                  <c:v>423000</c:v>
                </c:pt>
                <c:pt idx="20">
                  <c:v>959000</c:v>
                </c:pt>
                <c:pt idx="21">
                  <c:v>65000</c:v>
                </c:pt>
                <c:pt idx="22">
                  <c:v>83000</c:v>
                </c:pt>
                <c:pt idx="23">
                  <c:v>148000</c:v>
                </c:pt>
                <c:pt idx="24">
                  <c:v>315000</c:v>
                </c:pt>
                <c:pt idx="25">
                  <c:v>1309000</c:v>
                </c:pt>
                <c:pt idx="26">
                  <c:v>871000</c:v>
                </c:pt>
                <c:pt idx="27">
                  <c:v>127000</c:v>
                </c:pt>
                <c:pt idx="28">
                  <c:v>422000</c:v>
                </c:pt>
                <c:pt idx="29">
                  <c:v>430000</c:v>
                </c:pt>
                <c:pt idx="30">
                  <c:v>453000</c:v>
                </c:pt>
                <c:pt idx="31">
                  <c:v>573000</c:v>
                </c:pt>
                <c:pt idx="32">
                  <c:v>609000</c:v>
                </c:pt>
                <c:pt idx="33">
                  <c:v>769000</c:v>
                </c:pt>
                <c:pt idx="34">
                  <c:v>370000</c:v>
                </c:pt>
                <c:pt idx="35">
                  <c:v>412000</c:v>
                </c:pt>
                <c:pt idx="36">
                  <c:v>186000</c:v>
                </c:pt>
                <c:pt idx="37">
                  <c:v>204000</c:v>
                </c:pt>
                <c:pt idx="38">
                  <c:v>98000</c:v>
                </c:pt>
                <c:pt idx="39">
                  <c:v>252000</c:v>
                </c:pt>
                <c:pt idx="40">
                  <c:v>400000</c:v>
                </c:pt>
                <c:pt idx="41">
                  <c:v>308000</c:v>
                </c:pt>
                <c:pt idx="42">
                  <c:v>68000</c:v>
                </c:pt>
                <c:pt idx="43">
                  <c:v>421000</c:v>
                </c:pt>
                <c:pt idx="44">
                  <c:v>1234000</c:v>
                </c:pt>
                <c:pt idx="45">
                  <c:v>189000</c:v>
                </c:pt>
                <c:pt idx="46">
                  <c:v>393000</c:v>
                </c:pt>
                <c:pt idx="47">
                  <c:v>914000</c:v>
                </c:pt>
                <c:pt idx="48">
                  <c:v>190000</c:v>
                </c:pt>
                <c:pt idx="49">
                  <c:v>573000</c:v>
                </c:pt>
                <c:pt idx="50">
                  <c:v>442000</c:v>
                </c:pt>
                <c:pt idx="51">
                  <c:v>921000</c:v>
                </c:pt>
                <c:pt idx="52">
                  <c:v>602000</c:v>
                </c:pt>
                <c:pt idx="53">
                  <c:v>408000</c:v>
                </c:pt>
                <c:pt idx="54">
                  <c:v>429000</c:v>
                </c:pt>
                <c:pt idx="55">
                  <c:v>1866000</c:v>
                </c:pt>
                <c:pt idx="56">
                  <c:v>609000</c:v>
                </c:pt>
                <c:pt idx="57">
                  <c:v>435000</c:v>
                </c:pt>
                <c:pt idx="58">
                  <c:v>1833000</c:v>
                </c:pt>
                <c:pt idx="59">
                  <c:v>224000</c:v>
                </c:pt>
                <c:pt idx="60">
                  <c:v>214000</c:v>
                </c:pt>
                <c:pt idx="61">
                  <c:v>764000</c:v>
                </c:pt>
                <c:pt idx="62">
                  <c:v>558000</c:v>
                </c:pt>
                <c:pt idx="63">
                  <c:v>375000</c:v>
                </c:pt>
                <c:pt idx="64">
                  <c:v>420000</c:v>
                </c:pt>
                <c:pt idx="65">
                  <c:v>154000</c:v>
                </c:pt>
                <c:pt idx="66">
                  <c:v>126000</c:v>
                </c:pt>
                <c:pt idx="67">
                  <c:v>316000</c:v>
                </c:pt>
                <c:pt idx="68">
                  <c:v>92000</c:v>
                </c:pt>
                <c:pt idx="69">
                  <c:v>462000</c:v>
                </c:pt>
                <c:pt idx="70">
                  <c:v>1182000</c:v>
                </c:pt>
                <c:pt idx="71">
                  <c:v>964000</c:v>
                </c:pt>
                <c:pt idx="72">
                  <c:v>332000</c:v>
                </c:pt>
                <c:pt idx="73">
                  <c:v>1422000</c:v>
                </c:pt>
                <c:pt idx="74">
                  <c:v>1576000</c:v>
                </c:pt>
                <c:pt idx="75">
                  <c:v>538000</c:v>
                </c:pt>
                <c:pt idx="76">
                  <c:v>531000</c:v>
                </c:pt>
                <c:pt idx="77">
                  <c:v>337000</c:v>
                </c:pt>
                <c:pt idx="78">
                  <c:v>827000</c:v>
                </c:pt>
                <c:pt idx="79">
                  <c:v>226000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E4-CC40-85C9-7523FD3D1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257567"/>
        <c:axId val="1917259647"/>
      </c:scatterChart>
      <c:valAx>
        <c:axId val="191725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>
                    <a:solidFill>
                      <a:schemeClr val="tx1"/>
                    </a:solidFill>
                  </a:rPr>
                  <a:t>Square Footage of Francise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59647"/>
        <c:crosses val="autoZero"/>
        <c:crossBetween val="midCat"/>
      </c:valAx>
      <c:valAx>
        <c:axId val="191725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>
                    <a:solidFill>
                      <a:schemeClr val="tx1"/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5756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00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'sqr foot sales'!$B$1</c:f>
              <c:strCache>
                <c:ptCount val="1"/>
                <c:pt idx="0">
                  <c:v>Sales ($000)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'sqr foot sales'!$A$2:$A$81</c:f>
              <c:numCache>
                <c:formatCode>General</c:formatCode>
                <c:ptCount val="80"/>
                <c:pt idx="0">
                  <c:v>5.25</c:v>
                </c:pt>
                <c:pt idx="1">
                  <c:v>2.72</c:v>
                </c:pt>
                <c:pt idx="2">
                  <c:v>1.61</c:v>
                </c:pt>
                <c:pt idx="3" formatCode="0.00">
                  <c:v>2.74</c:v>
                </c:pt>
                <c:pt idx="4">
                  <c:v>1.21</c:v>
                </c:pt>
                <c:pt idx="5" formatCode="0.00">
                  <c:v>0.91</c:v>
                </c:pt>
                <c:pt idx="6">
                  <c:v>3.08</c:v>
                </c:pt>
                <c:pt idx="7" formatCode="0.00">
                  <c:v>1.42</c:v>
                </c:pt>
                <c:pt idx="8">
                  <c:v>2.76</c:v>
                </c:pt>
                <c:pt idx="9" formatCode="0.00">
                  <c:v>1.78</c:v>
                </c:pt>
                <c:pt idx="10">
                  <c:v>1.1200000000000001</c:v>
                </c:pt>
                <c:pt idx="11">
                  <c:v>3.6</c:v>
                </c:pt>
                <c:pt idx="12">
                  <c:v>2.2000000000000002</c:v>
                </c:pt>
                <c:pt idx="13" formatCode="0.00">
                  <c:v>2.56</c:v>
                </c:pt>
                <c:pt idx="14">
                  <c:v>3.39</c:v>
                </c:pt>
                <c:pt idx="15">
                  <c:v>2.1</c:v>
                </c:pt>
                <c:pt idx="16" formatCode="0.00">
                  <c:v>1.87</c:v>
                </c:pt>
                <c:pt idx="17">
                  <c:v>0.93</c:v>
                </c:pt>
                <c:pt idx="18" formatCode="0.00">
                  <c:v>3.19</c:v>
                </c:pt>
                <c:pt idx="19" formatCode="0.00">
                  <c:v>1.96</c:v>
                </c:pt>
                <c:pt idx="20">
                  <c:v>3.46</c:v>
                </c:pt>
                <c:pt idx="21" formatCode="0.00">
                  <c:v>2.29</c:v>
                </c:pt>
                <c:pt idx="22">
                  <c:v>3.05</c:v>
                </c:pt>
                <c:pt idx="23" formatCode="0.00">
                  <c:v>1.72</c:v>
                </c:pt>
                <c:pt idx="24">
                  <c:v>4</c:v>
                </c:pt>
                <c:pt idx="25">
                  <c:v>2.71</c:v>
                </c:pt>
                <c:pt idx="26" formatCode="0.00">
                  <c:v>2.3199999999999998</c:v>
                </c:pt>
                <c:pt idx="27" formatCode="0.00">
                  <c:v>0.76</c:v>
                </c:pt>
                <c:pt idx="28" formatCode="0.00">
                  <c:v>4.72</c:v>
                </c:pt>
                <c:pt idx="29">
                  <c:v>1.51</c:v>
                </c:pt>
                <c:pt idx="30" formatCode="0.00">
                  <c:v>1.24</c:v>
                </c:pt>
                <c:pt idx="31">
                  <c:v>3.03</c:v>
                </c:pt>
                <c:pt idx="32">
                  <c:v>1.87</c:v>
                </c:pt>
                <c:pt idx="33" formatCode="0.00">
                  <c:v>2.23</c:v>
                </c:pt>
                <c:pt idx="34" formatCode="0.00">
                  <c:v>1.57</c:v>
                </c:pt>
                <c:pt idx="35">
                  <c:v>4.7699999999999996</c:v>
                </c:pt>
                <c:pt idx="36" formatCode="0.00">
                  <c:v>1.87</c:v>
                </c:pt>
                <c:pt idx="37">
                  <c:v>0.89</c:v>
                </c:pt>
                <c:pt idx="38">
                  <c:v>3.78</c:v>
                </c:pt>
                <c:pt idx="39" formatCode="0.00">
                  <c:v>2.74</c:v>
                </c:pt>
                <c:pt idx="40" formatCode="0.00">
                  <c:v>1</c:v>
                </c:pt>
                <c:pt idx="41">
                  <c:v>2.25</c:v>
                </c:pt>
                <c:pt idx="42">
                  <c:v>2.39</c:v>
                </c:pt>
                <c:pt idx="43" formatCode="0.00">
                  <c:v>3.76</c:v>
                </c:pt>
                <c:pt idx="44" formatCode="0.00">
                  <c:v>1.24</c:v>
                </c:pt>
                <c:pt idx="45" formatCode="0.00">
                  <c:v>2.02</c:v>
                </c:pt>
                <c:pt idx="46" formatCode="0.00">
                  <c:v>4.54</c:v>
                </c:pt>
                <c:pt idx="47">
                  <c:v>1.61</c:v>
                </c:pt>
                <c:pt idx="48" formatCode="0.00">
                  <c:v>2.62</c:v>
                </c:pt>
                <c:pt idx="49" formatCode="0.00">
                  <c:v>1.0900000000000001</c:v>
                </c:pt>
                <c:pt idx="50">
                  <c:v>5.01</c:v>
                </c:pt>
                <c:pt idx="51" formatCode="0.00">
                  <c:v>3.28</c:v>
                </c:pt>
                <c:pt idx="52">
                  <c:v>1.1499999999999999</c:v>
                </c:pt>
                <c:pt idx="53" formatCode="0.00">
                  <c:v>1.36</c:v>
                </c:pt>
                <c:pt idx="54" formatCode="0.00">
                  <c:v>2.11</c:v>
                </c:pt>
                <c:pt idx="55" formatCode="0.00">
                  <c:v>1.9</c:v>
                </c:pt>
                <c:pt idx="56" formatCode="0.00">
                  <c:v>1.96</c:v>
                </c:pt>
                <c:pt idx="57" formatCode="0.00">
                  <c:v>4</c:v>
                </c:pt>
                <c:pt idx="58" formatCode="0.00">
                  <c:v>4.45</c:v>
                </c:pt>
                <c:pt idx="59" formatCode="0.00">
                  <c:v>1.54</c:v>
                </c:pt>
                <c:pt idx="60" formatCode="0.00">
                  <c:v>2.62</c:v>
                </c:pt>
                <c:pt idx="61" formatCode="0.00">
                  <c:v>3.04</c:v>
                </c:pt>
                <c:pt idx="62" formatCode="0.00">
                  <c:v>3.43</c:v>
                </c:pt>
                <c:pt idx="63">
                  <c:v>0.52</c:v>
                </c:pt>
                <c:pt idx="64">
                  <c:v>1.05</c:v>
                </c:pt>
                <c:pt idx="65" formatCode="0.00">
                  <c:v>0.88</c:v>
                </c:pt>
                <c:pt idx="66" formatCode="0.00">
                  <c:v>1.99</c:v>
                </c:pt>
                <c:pt idx="67" formatCode="0.00">
                  <c:v>3.07</c:v>
                </c:pt>
                <c:pt idx="68">
                  <c:v>1.96</c:v>
                </c:pt>
                <c:pt idx="69">
                  <c:v>2.2000000000000002</c:v>
                </c:pt>
                <c:pt idx="70" formatCode="0.00">
                  <c:v>2.35</c:v>
                </c:pt>
                <c:pt idx="71" formatCode="0.00">
                  <c:v>4.9000000000000004</c:v>
                </c:pt>
                <c:pt idx="72">
                  <c:v>3.17</c:v>
                </c:pt>
                <c:pt idx="73" formatCode="0.00">
                  <c:v>1.87</c:v>
                </c:pt>
                <c:pt idx="74" formatCode="0.00">
                  <c:v>3.52</c:v>
                </c:pt>
                <c:pt idx="75">
                  <c:v>2.1800000000000002</c:v>
                </c:pt>
                <c:pt idx="76" formatCode="0.00">
                  <c:v>2.77</c:v>
                </c:pt>
                <c:pt idx="77" formatCode="0.00">
                  <c:v>1.33</c:v>
                </c:pt>
                <c:pt idx="78">
                  <c:v>3.17</c:v>
                </c:pt>
                <c:pt idx="79">
                  <c:v>2.74</c:v>
                </c:pt>
              </c:numCache>
            </c:numRef>
          </c:xVal>
          <c:yVal>
            <c:numRef>
              <c:f>'sqr foot sales'!$B$2:$B$81</c:f>
              <c:numCache>
                <c:formatCode>General</c:formatCode>
                <c:ptCount val="80"/>
                <c:pt idx="0">
                  <c:v>1012</c:v>
                </c:pt>
                <c:pt idx="1">
                  <c:v>247</c:v>
                </c:pt>
                <c:pt idx="2">
                  <c:v>235</c:v>
                </c:pt>
                <c:pt idx="3" formatCode="0">
                  <c:v>79</c:v>
                </c:pt>
                <c:pt idx="4">
                  <c:v>123</c:v>
                </c:pt>
                <c:pt idx="5" formatCode="0">
                  <c:v>65</c:v>
                </c:pt>
                <c:pt idx="6">
                  <c:v>630</c:v>
                </c:pt>
                <c:pt idx="7" formatCode="0">
                  <c:v>501</c:v>
                </c:pt>
                <c:pt idx="8">
                  <c:v>200</c:v>
                </c:pt>
                <c:pt idx="9" formatCode="0">
                  <c:v>579</c:v>
                </c:pt>
                <c:pt idx="10">
                  <c:v>511</c:v>
                </c:pt>
                <c:pt idx="11">
                  <c:v>587</c:v>
                </c:pt>
                <c:pt idx="12">
                  <c:v>399</c:v>
                </c:pt>
                <c:pt idx="13" formatCode="0">
                  <c:v>235</c:v>
                </c:pt>
                <c:pt idx="14">
                  <c:v>1867</c:v>
                </c:pt>
                <c:pt idx="15">
                  <c:v>230</c:v>
                </c:pt>
                <c:pt idx="16" formatCode="0">
                  <c:v>88</c:v>
                </c:pt>
                <c:pt idx="17">
                  <c:v>162</c:v>
                </c:pt>
                <c:pt idx="18" formatCode="0">
                  <c:v>1766</c:v>
                </c:pt>
                <c:pt idx="19" formatCode="0">
                  <c:v>423</c:v>
                </c:pt>
                <c:pt idx="20">
                  <c:v>959</c:v>
                </c:pt>
                <c:pt idx="21" formatCode="0">
                  <c:v>65</c:v>
                </c:pt>
                <c:pt idx="22">
                  <c:v>83</c:v>
                </c:pt>
                <c:pt idx="23" formatCode="0">
                  <c:v>148</c:v>
                </c:pt>
                <c:pt idx="24">
                  <c:v>315</c:v>
                </c:pt>
                <c:pt idx="25">
                  <c:v>1309</c:v>
                </c:pt>
                <c:pt idx="26" formatCode="0">
                  <c:v>871</c:v>
                </c:pt>
                <c:pt idx="27" formatCode="0">
                  <c:v>127</c:v>
                </c:pt>
                <c:pt idx="28" formatCode="0">
                  <c:v>422</c:v>
                </c:pt>
                <c:pt idx="29">
                  <c:v>430</c:v>
                </c:pt>
                <c:pt idx="30" formatCode="0">
                  <c:v>453</c:v>
                </c:pt>
                <c:pt idx="31">
                  <c:v>573</c:v>
                </c:pt>
                <c:pt idx="32">
                  <c:v>609</c:v>
                </c:pt>
                <c:pt idx="33" formatCode="0">
                  <c:v>769</c:v>
                </c:pt>
                <c:pt idx="34" formatCode="0">
                  <c:v>370</c:v>
                </c:pt>
                <c:pt idx="35">
                  <c:v>412</c:v>
                </c:pt>
                <c:pt idx="36" formatCode="0">
                  <c:v>186</c:v>
                </c:pt>
                <c:pt idx="37">
                  <c:v>204</c:v>
                </c:pt>
                <c:pt idx="38">
                  <c:v>98</c:v>
                </c:pt>
                <c:pt idx="39" formatCode="0">
                  <c:v>252</c:v>
                </c:pt>
                <c:pt idx="40" formatCode="0">
                  <c:v>400</c:v>
                </c:pt>
                <c:pt idx="41">
                  <c:v>308</c:v>
                </c:pt>
                <c:pt idx="42">
                  <c:v>68</c:v>
                </c:pt>
                <c:pt idx="43" formatCode="0">
                  <c:v>421</c:v>
                </c:pt>
                <c:pt idx="44" formatCode="0">
                  <c:v>1234</c:v>
                </c:pt>
                <c:pt idx="45" formatCode="0">
                  <c:v>189</c:v>
                </c:pt>
                <c:pt idx="46" formatCode="0">
                  <c:v>393</c:v>
                </c:pt>
                <c:pt idx="47">
                  <c:v>914</c:v>
                </c:pt>
                <c:pt idx="48" formatCode="0">
                  <c:v>190</c:v>
                </c:pt>
                <c:pt idx="49" formatCode="0">
                  <c:v>573</c:v>
                </c:pt>
                <c:pt idx="50">
                  <c:v>442</c:v>
                </c:pt>
                <c:pt idx="51" formatCode="0">
                  <c:v>921</c:v>
                </c:pt>
                <c:pt idx="52">
                  <c:v>602</c:v>
                </c:pt>
                <c:pt idx="53" formatCode="0">
                  <c:v>408</c:v>
                </c:pt>
                <c:pt idx="54" formatCode="0">
                  <c:v>429</c:v>
                </c:pt>
                <c:pt idx="55" formatCode="0">
                  <c:v>1866</c:v>
                </c:pt>
                <c:pt idx="56" formatCode="0">
                  <c:v>609</c:v>
                </c:pt>
                <c:pt idx="57" formatCode="0">
                  <c:v>435</c:v>
                </c:pt>
                <c:pt idx="58" formatCode="0">
                  <c:v>1833</c:v>
                </c:pt>
                <c:pt idx="59" formatCode="0">
                  <c:v>224</c:v>
                </c:pt>
                <c:pt idx="60" formatCode="0">
                  <c:v>214</c:v>
                </c:pt>
                <c:pt idx="61" formatCode="0">
                  <c:v>764</c:v>
                </c:pt>
                <c:pt idx="62" formatCode="0">
                  <c:v>558</c:v>
                </c:pt>
                <c:pt idx="63">
                  <c:v>375</c:v>
                </c:pt>
                <c:pt idx="64">
                  <c:v>420</c:v>
                </c:pt>
                <c:pt idx="65" formatCode="0">
                  <c:v>154</c:v>
                </c:pt>
                <c:pt idx="66" formatCode="0">
                  <c:v>126</c:v>
                </c:pt>
                <c:pt idx="67" formatCode="0">
                  <c:v>316</c:v>
                </c:pt>
                <c:pt idx="68">
                  <c:v>92</c:v>
                </c:pt>
                <c:pt idx="69">
                  <c:v>462</c:v>
                </c:pt>
                <c:pt idx="70" formatCode="0">
                  <c:v>1182</c:v>
                </c:pt>
                <c:pt idx="71" formatCode="0">
                  <c:v>964</c:v>
                </c:pt>
                <c:pt idx="72">
                  <c:v>332</c:v>
                </c:pt>
                <c:pt idx="73" formatCode="0">
                  <c:v>1422</c:v>
                </c:pt>
                <c:pt idx="74" formatCode="0">
                  <c:v>1576</c:v>
                </c:pt>
                <c:pt idx="75">
                  <c:v>538</c:v>
                </c:pt>
                <c:pt idx="76" formatCode="0">
                  <c:v>531</c:v>
                </c:pt>
                <c:pt idx="77" formatCode="0">
                  <c:v>337</c:v>
                </c:pt>
                <c:pt idx="78">
                  <c:v>827</c:v>
                </c:pt>
                <c:pt idx="79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6C-8341-B888-F17E984BF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296623"/>
        <c:axId val="1917298335"/>
      </c:scatterChart>
      <c:valAx>
        <c:axId val="191729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98335"/>
        <c:crosses val="autoZero"/>
        <c:crossBetween val="midCat"/>
      </c:valAx>
      <c:valAx>
        <c:axId val="191729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96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'employee sales'!$B$1</c:f>
              <c:strCache>
                <c:ptCount val="1"/>
                <c:pt idx="0">
                  <c:v>Sales ($000)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'employee sales'!$A$2:$A$81</c:f>
              <c:numCache>
                <c:formatCode>0</c:formatCode>
                <c:ptCount val="80"/>
                <c:pt idx="0">
                  <c:v>47</c:v>
                </c:pt>
                <c:pt idx="1">
                  <c:v>84</c:v>
                </c:pt>
                <c:pt idx="2">
                  <c:v>69</c:v>
                </c:pt>
                <c:pt idx="3">
                  <c:v>64</c:v>
                </c:pt>
                <c:pt idx="4">
                  <c:v>64</c:v>
                </c:pt>
                <c:pt idx="5">
                  <c:v>72</c:v>
                </c:pt>
                <c:pt idx="6">
                  <c:v>63</c:v>
                </c:pt>
                <c:pt idx="7">
                  <c:v>57</c:v>
                </c:pt>
                <c:pt idx="8">
                  <c:v>57</c:v>
                </c:pt>
                <c:pt idx="9">
                  <c:v>50</c:v>
                </c:pt>
                <c:pt idx="10">
                  <c:v>60</c:v>
                </c:pt>
                <c:pt idx="11">
                  <c:v>68</c:v>
                </c:pt>
                <c:pt idx="12">
                  <c:v>63</c:v>
                </c:pt>
                <c:pt idx="13">
                  <c:v>80</c:v>
                </c:pt>
                <c:pt idx="14">
                  <c:v>59</c:v>
                </c:pt>
                <c:pt idx="15">
                  <c:v>62</c:v>
                </c:pt>
                <c:pt idx="16">
                  <c:v>59</c:v>
                </c:pt>
                <c:pt idx="17">
                  <c:v>66</c:v>
                </c:pt>
                <c:pt idx="18">
                  <c:v>55</c:v>
                </c:pt>
                <c:pt idx="19">
                  <c:v>64</c:v>
                </c:pt>
                <c:pt idx="20">
                  <c:v>57</c:v>
                </c:pt>
                <c:pt idx="21">
                  <c:v>64</c:v>
                </c:pt>
                <c:pt idx="22">
                  <c:v>63</c:v>
                </c:pt>
                <c:pt idx="23">
                  <c:v>55</c:v>
                </c:pt>
                <c:pt idx="24">
                  <c:v>80</c:v>
                </c:pt>
                <c:pt idx="25">
                  <c:v>64</c:v>
                </c:pt>
                <c:pt idx="26">
                  <c:v>58</c:v>
                </c:pt>
                <c:pt idx="27">
                  <c:v>63</c:v>
                </c:pt>
                <c:pt idx="28">
                  <c:v>65</c:v>
                </c:pt>
                <c:pt idx="29">
                  <c:v>53</c:v>
                </c:pt>
                <c:pt idx="30">
                  <c:v>61</c:v>
                </c:pt>
                <c:pt idx="31">
                  <c:v>63</c:v>
                </c:pt>
                <c:pt idx="32">
                  <c:v>53</c:v>
                </c:pt>
                <c:pt idx="33">
                  <c:v>53</c:v>
                </c:pt>
                <c:pt idx="34">
                  <c:v>70</c:v>
                </c:pt>
                <c:pt idx="35">
                  <c:v>63</c:v>
                </c:pt>
                <c:pt idx="36">
                  <c:v>60</c:v>
                </c:pt>
                <c:pt idx="37">
                  <c:v>67</c:v>
                </c:pt>
                <c:pt idx="38">
                  <c:v>55</c:v>
                </c:pt>
                <c:pt idx="39">
                  <c:v>62</c:v>
                </c:pt>
                <c:pt idx="40">
                  <c:v>70</c:v>
                </c:pt>
                <c:pt idx="41">
                  <c:v>72</c:v>
                </c:pt>
                <c:pt idx="42">
                  <c:v>67</c:v>
                </c:pt>
                <c:pt idx="43">
                  <c:v>45</c:v>
                </c:pt>
                <c:pt idx="44">
                  <c:v>70</c:v>
                </c:pt>
                <c:pt idx="45">
                  <c:v>64</c:v>
                </c:pt>
                <c:pt idx="46">
                  <c:v>64</c:v>
                </c:pt>
                <c:pt idx="47">
                  <c:v>69</c:v>
                </c:pt>
                <c:pt idx="48">
                  <c:v>59</c:v>
                </c:pt>
                <c:pt idx="49">
                  <c:v>70</c:v>
                </c:pt>
                <c:pt idx="50">
                  <c:v>71</c:v>
                </c:pt>
                <c:pt idx="51">
                  <c:v>54</c:v>
                </c:pt>
                <c:pt idx="52">
                  <c:v>73</c:v>
                </c:pt>
                <c:pt idx="53">
                  <c:v>50</c:v>
                </c:pt>
                <c:pt idx="54">
                  <c:v>54</c:v>
                </c:pt>
                <c:pt idx="55">
                  <c:v>37</c:v>
                </c:pt>
                <c:pt idx="56">
                  <c:v>61</c:v>
                </c:pt>
                <c:pt idx="57">
                  <c:v>58</c:v>
                </c:pt>
                <c:pt idx="58">
                  <c:v>55</c:v>
                </c:pt>
                <c:pt idx="59">
                  <c:v>66</c:v>
                </c:pt>
                <c:pt idx="60">
                  <c:v>79</c:v>
                </c:pt>
                <c:pt idx="61">
                  <c:v>57</c:v>
                </c:pt>
                <c:pt idx="62">
                  <c:v>65</c:v>
                </c:pt>
                <c:pt idx="63">
                  <c:v>62</c:v>
                </c:pt>
                <c:pt idx="64">
                  <c:v>74</c:v>
                </c:pt>
                <c:pt idx="65">
                  <c:v>63</c:v>
                </c:pt>
                <c:pt idx="66">
                  <c:v>54</c:v>
                </c:pt>
                <c:pt idx="67">
                  <c:v>57</c:v>
                </c:pt>
                <c:pt idx="68">
                  <c:v>59</c:v>
                </c:pt>
                <c:pt idx="69">
                  <c:v>63</c:v>
                </c:pt>
                <c:pt idx="70">
                  <c:v>66</c:v>
                </c:pt>
                <c:pt idx="71">
                  <c:v>45</c:v>
                </c:pt>
                <c:pt idx="72">
                  <c:v>59</c:v>
                </c:pt>
                <c:pt idx="73">
                  <c:v>69</c:v>
                </c:pt>
                <c:pt idx="74">
                  <c:v>54</c:v>
                </c:pt>
                <c:pt idx="75">
                  <c:v>60</c:v>
                </c:pt>
                <c:pt idx="76">
                  <c:v>68</c:v>
                </c:pt>
                <c:pt idx="77">
                  <c:v>59</c:v>
                </c:pt>
                <c:pt idx="78">
                  <c:v>74</c:v>
                </c:pt>
                <c:pt idx="79">
                  <c:v>84</c:v>
                </c:pt>
              </c:numCache>
            </c:numRef>
          </c:xVal>
          <c:yVal>
            <c:numRef>
              <c:f>'employee sales'!$B$2:$B$81</c:f>
              <c:numCache>
                <c:formatCode>General</c:formatCode>
                <c:ptCount val="80"/>
                <c:pt idx="0">
                  <c:v>1012</c:v>
                </c:pt>
                <c:pt idx="1">
                  <c:v>247</c:v>
                </c:pt>
                <c:pt idx="2">
                  <c:v>235</c:v>
                </c:pt>
                <c:pt idx="3" formatCode="0">
                  <c:v>79</c:v>
                </c:pt>
                <c:pt idx="4">
                  <c:v>123</c:v>
                </c:pt>
                <c:pt idx="5" formatCode="0">
                  <c:v>65</c:v>
                </c:pt>
                <c:pt idx="6">
                  <c:v>630</c:v>
                </c:pt>
                <c:pt idx="7" formatCode="0">
                  <c:v>501</c:v>
                </c:pt>
                <c:pt idx="8">
                  <c:v>200</c:v>
                </c:pt>
                <c:pt idx="9" formatCode="0">
                  <c:v>579</c:v>
                </c:pt>
                <c:pt idx="10">
                  <c:v>511</c:v>
                </c:pt>
                <c:pt idx="11">
                  <c:v>587</c:v>
                </c:pt>
                <c:pt idx="12">
                  <c:v>399</c:v>
                </c:pt>
                <c:pt idx="13" formatCode="0">
                  <c:v>235</c:v>
                </c:pt>
                <c:pt idx="14">
                  <c:v>1867</c:v>
                </c:pt>
                <c:pt idx="15">
                  <c:v>230</c:v>
                </c:pt>
                <c:pt idx="16" formatCode="0">
                  <c:v>88</c:v>
                </c:pt>
                <c:pt idx="17">
                  <c:v>162</c:v>
                </c:pt>
                <c:pt idx="18" formatCode="0">
                  <c:v>1766</c:v>
                </c:pt>
                <c:pt idx="19" formatCode="0">
                  <c:v>423</c:v>
                </c:pt>
                <c:pt idx="20">
                  <c:v>959</c:v>
                </c:pt>
                <c:pt idx="21" formatCode="0">
                  <c:v>65</c:v>
                </c:pt>
                <c:pt idx="22">
                  <c:v>83</c:v>
                </c:pt>
                <c:pt idx="23" formatCode="0">
                  <c:v>148</c:v>
                </c:pt>
                <c:pt idx="24">
                  <c:v>315</c:v>
                </c:pt>
                <c:pt idx="25">
                  <c:v>1309</c:v>
                </c:pt>
                <c:pt idx="26" formatCode="0">
                  <c:v>871</c:v>
                </c:pt>
                <c:pt idx="27" formatCode="0">
                  <c:v>127</c:v>
                </c:pt>
                <c:pt idx="28" formatCode="0">
                  <c:v>422</c:v>
                </c:pt>
                <c:pt idx="29">
                  <c:v>430</c:v>
                </c:pt>
                <c:pt idx="30" formatCode="0">
                  <c:v>453</c:v>
                </c:pt>
                <c:pt idx="31">
                  <c:v>573</c:v>
                </c:pt>
                <c:pt idx="32">
                  <c:v>609</c:v>
                </c:pt>
                <c:pt idx="33" formatCode="0">
                  <c:v>769</c:v>
                </c:pt>
                <c:pt idx="34" formatCode="0">
                  <c:v>370</c:v>
                </c:pt>
                <c:pt idx="35">
                  <c:v>412</c:v>
                </c:pt>
                <c:pt idx="36" formatCode="0">
                  <c:v>186</c:v>
                </c:pt>
                <c:pt idx="37">
                  <c:v>204</c:v>
                </c:pt>
                <c:pt idx="38">
                  <c:v>98</c:v>
                </c:pt>
                <c:pt idx="39" formatCode="0">
                  <c:v>252</c:v>
                </c:pt>
                <c:pt idx="40" formatCode="0">
                  <c:v>400</c:v>
                </c:pt>
                <c:pt idx="41">
                  <c:v>308</c:v>
                </c:pt>
                <c:pt idx="42">
                  <c:v>68</c:v>
                </c:pt>
                <c:pt idx="43" formatCode="0">
                  <c:v>421</c:v>
                </c:pt>
                <c:pt idx="44" formatCode="0">
                  <c:v>1234</c:v>
                </c:pt>
                <c:pt idx="45" formatCode="0">
                  <c:v>189</c:v>
                </c:pt>
                <c:pt idx="46" formatCode="0">
                  <c:v>393</c:v>
                </c:pt>
                <c:pt idx="47">
                  <c:v>914</c:v>
                </c:pt>
                <c:pt idx="48" formatCode="0">
                  <c:v>190</c:v>
                </c:pt>
                <c:pt idx="49" formatCode="0">
                  <c:v>573</c:v>
                </c:pt>
                <c:pt idx="50">
                  <c:v>442</c:v>
                </c:pt>
                <c:pt idx="51" formatCode="0">
                  <c:v>921</c:v>
                </c:pt>
                <c:pt idx="52">
                  <c:v>602</c:v>
                </c:pt>
                <c:pt idx="53" formatCode="0">
                  <c:v>408</c:v>
                </c:pt>
                <c:pt idx="54" formatCode="0">
                  <c:v>429</c:v>
                </c:pt>
                <c:pt idx="55" formatCode="0">
                  <c:v>1866</c:v>
                </c:pt>
                <c:pt idx="56" formatCode="0">
                  <c:v>609</c:v>
                </c:pt>
                <c:pt idx="57" formatCode="0">
                  <c:v>435</c:v>
                </c:pt>
                <c:pt idx="58" formatCode="0">
                  <c:v>1833</c:v>
                </c:pt>
                <c:pt idx="59" formatCode="0">
                  <c:v>224</c:v>
                </c:pt>
                <c:pt idx="60" formatCode="0">
                  <c:v>214</c:v>
                </c:pt>
                <c:pt idx="61" formatCode="0">
                  <c:v>764</c:v>
                </c:pt>
                <c:pt idx="62" formatCode="0">
                  <c:v>558</c:v>
                </c:pt>
                <c:pt idx="63">
                  <c:v>375</c:v>
                </c:pt>
                <c:pt idx="64">
                  <c:v>420</c:v>
                </c:pt>
                <c:pt idx="65" formatCode="0">
                  <c:v>154</c:v>
                </c:pt>
                <c:pt idx="66" formatCode="0">
                  <c:v>126</c:v>
                </c:pt>
                <c:pt idx="67" formatCode="0">
                  <c:v>316</c:v>
                </c:pt>
                <c:pt idx="68">
                  <c:v>92</c:v>
                </c:pt>
                <c:pt idx="69">
                  <c:v>462</c:v>
                </c:pt>
                <c:pt idx="70" formatCode="0">
                  <c:v>1182</c:v>
                </c:pt>
                <c:pt idx="71" formatCode="0">
                  <c:v>964</c:v>
                </c:pt>
                <c:pt idx="72">
                  <c:v>332</c:v>
                </c:pt>
                <c:pt idx="73" formatCode="0">
                  <c:v>1422</c:v>
                </c:pt>
                <c:pt idx="74" formatCode="0">
                  <c:v>1576</c:v>
                </c:pt>
                <c:pt idx="75">
                  <c:v>538</c:v>
                </c:pt>
                <c:pt idx="76" formatCode="0">
                  <c:v>531</c:v>
                </c:pt>
                <c:pt idx="77" formatCode="0">
                  <c:v>337</c:v>
                </c:pt>
                <c:pt idx="78">
                  <c:v>827</c:v>
                </c:pt>
                <c:pt idx="79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50-E540-BAD3-39DC0AEC2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26799"/>
        <c:axId val="1917328511"/>
      </c:scatterChart>
      <c:valAx>
        <c:axId val="191732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28511"/>
        <c:crosses val="autoZero"/>
        <c:crossBetween val="midCat"/>
      </c:valAx>
      <c:valAx>
        <c:axId val="191732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2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</a:rPr>
              <a:t>Sales by Number of Employees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'employee sales'!$D$1</c:f>
              <c:strCache>
                <c:ptCount val="1"/>
                <c:pt idx="0">
                  <c:v>sales correct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'employee sales'!$C$2:$C$81</c:f>
              <c:numCache>
                <c:formatCode>0</c:formatCode>
                <c:ptCount val="80"/>
                <c:pt idx="0">
                  <c:v>47</c:v>
                </c:pt>
                <c:pt idx="1">
                  <c:v>84</c:v>
                </c:pt>
                <c:pt idx="2">
                  <c:v>69</c:v>
                </c:pt>
                <c:pt idx="3">
                  <c:v>64</c:v>
                </c:pt>
                <c:pt idx="4">
                  <c:v>64</c:v>
                </c:pt>
                <c:pt idx="5">
                  <c:v>72</c:v>
                </c:pt>
                <c:pt idx="6">
                  <c:v>63</c:v>
                </c:pt>
                <c:pt idx="7">
                  <c:v>57</c:v>
                </c:pt>
                <c:pt idx="8">
                  <c:v>57</c:v>
                </c:pt>
                <c:pt idx="9">
                  <c:v>50</c:v>
                </c:pt>
                <c:pt idx="10">
                  <c:v>60</c:v>
                </c:pt>
                <c:pt idx="11">
                  <c:v>68</c:v>
                </c:pt>
                <c:pt idx="12">
                  <c:v>63</c:v>
                </c:pt>
                <c:pt idx="13">
                  <c:v>80</c:v>
                </c:pt>
                <c:pt idx="14">
                  <c:v>59</c:v>
                </c:pt>
                <c:pt idx="15">
                  <c:v>62</c:v>
                </c:pt>
                <c:pt idx="16">
                  <c:v>59</c:v>
                </c:pt>
                <c:pt idx="17">
                  <c:v>66</c:v>
                </c:pt>
                <c:pt idx="18">
                  <c:v>55</c:v>
                </c:pt>
                <c:pt idx="19">
                  <c:v>64</c:v>
                </c:pt>
                <c:pt idx="20">
                  <c:v>57</c:v>
                </c:pt>
                <c:pt idx="21">
                  <c:v>64</c:v>
                </c:pt>
                <c:pt idx="22">
                  <c:v>63</c:v>
                </c:pt>
                <c:pt idx="23">
                  <c:v>55</c:v>
                </c:pt>
                <c:pt idx="24">
                  <c:v>80</c:v>
                </c:pt>
                <c:pt idx="25">
                  <c:v>64</c:v>
                </c:pt>
                <c:pt idx="26">
                  <c:v>58</c:v>
                </c:pt>
                <c:pt idx="27">
                  <c:v>63</c:v>
                </c:pt>
                <c:pt idx="28">
                  <c:v>65</c:v>
                </c:pt>
                <c:pt idx="29">
                  <c:v>53</c:v>
                </c:pt>
                <c:pt idx="30">
                  <c:v>61</c:v>
                </c:pt>
                <c:pt idx="31">
                  <c:v>63</c:v>
                </c:pt>
                <c:pt idx="32">
                  <c:v>53</c:v>
                </c:pt>
                <c:pt idx="33">
                  <c:v>53</c:v>
                </c:pt>
                <c:pt idx="34">
                  <c:v>70</c:v>
                </c:pt>
                <c:pt idx="35">
                  <c:v>63</c:v>
                </c:pt>
                <c:pt idx="36">
                  <c:v>60</c:v>
                </c:pt>
                <c:pt idx="37">
                  <c:v>67</c:v>
                </c:pt>
                <c:pt idx="38">
                  <c:v>55</c:v>
                </c:pt>
                <c:pt idx="39">
                  <c:v>62</c:v>
                </c:pt>
                <c:pt idx="40">
                  <c:v>70</c:v>
                </c:pt>
                <c:pt idx="41">
                  <c:v>72</c:v>
                </c:pt>
                <c:pt idx="42">
                  <c:v>67</c:v>
                </c:pt>
                <c:pt idx="43">
                  <c:v>45</c:v>
                </c:pt>
                <c:pt idx="44">
                  <c:v>70</c:v>
                </c:pt>
                <c:pt idx="45">
                  <c:v>64</c:v>
                </c:pt>
                <c:pt idx="46">
                  <c:v>64</c:v>
                </c:pt>
                <c:pt idx="47">
                  <c:v>69</c:v>
                </c:pt>
                <c:pt idx="48">
                  <c:v>59</c:v>
                </c:pt>
                <c:pt idx="49">
                  <c:v>70</c:v>
                </c:pt>
                <c:pt idx="50">
                  <c:v>71</c:v>
                </c:pt>
                <c:pt idx="51">
                  <c:v>54</c:v>
                </c:pt>
                <c:pt idx="52">
                  <c:v>73</c:v>
                </c:pt>
                <c:pt idx="53">
                  <c:v>50</c:v>
                </c:pt>
                <c:pt idx="54">
                  <c:v>54</c:v>
                </c:pt>
                <c:pt idx="55">
                  <c:v>37</c:v>
                </c:pt>
                <c:pt idx="56">
                  <c:v>61</c:v>
                </c:pt>
                <c:pt idx="57">
                  <c:v>58</c:v>
                </c:pt>
                <c:pt idx="58">
                  <c:v>55</c:v>
                </c:pt>
                <c:pt idx="59">
                  <c:v>66</c:v>
                </c:pt>
                <c:pt idx="60">
                  <c:v>79</c:v>
                </c:pt>
                <c:pt idx="61">
                  <c:v>57</c:v>
                </c:pt>
                <c:pt idx="62">
                  <c:v>65</c:v>
                </c:pt>
                <c:pt idx="63">
                  <c:v>62</c:v>
                </c:pt>
                <c:pt idx="64">
                  <c:v>74</c:v>
                </c:pt>
                <c:pt idx="65">
                  <c:v>63</c:v>
                </c:pt>
                <c:pt idx="66">
                  <c:v>54</c:v>
                </c:pt>
                <c:pt idx="67">
                  <c:v>57</c:v>
                </c:pt>
                <c:pt idx="68">
                  <c:v>59</c:v>
                </c:pt>
                <c:pt idx="69">
                  <c:v>63</c:v>
                </c:pt>
                <c:pt idx="70">
                  <c:v>66</c:v>
                </c:pt>
                <c:pt idx="71">
                  <c:v>45</c:v>
                </c:pt>
                <c:pt idx="72">
                  <c:v>59</c:v>
                </c:pt>
                <c:pt idx="73">
                  <c:v>69</c:v>
                </c:pt>
                <c:pt idx="74">
                  <c:v>54</c:v>
                </c:pt>
                <c:pt idx="75">
                  <c:v>60</c:v>
                </c:pt>
                <c:pt idx="76">
                  <c:v>68</c:v>
                </c:pt>
                <c:pt idx="77">
                  <c:v>59</c:v>
                </c:pt>
                <c:pt idx="78">
                  <c:v>74</c:v>
                </c:pt>
                <c:pt idx="79">
                  <c:v>84</c:v>
                </c:pt>
              </c:numCache>
            </c:numRef>
          </c:xVal>
          <c:yVal>
            <c:numRef>
              <c:f>'employee sales'!$D$2:$D$81</c:f>
              <c:numCache>
                <c:formatCode>"$"#,##0</c:formatCode>
                <c:ptCount val="80"/>
                <c:pt idx="0">
                  <c:v>1012000</c:v>
                </c:pt>
                <c:pt idx="1">
                  <c:v>247000</c:v>
                </c:pt>
                <c:pt idx="2">
                  <c:v>235000</c:v>
                </c:pt>
                <c:pt idx="3">
                  <c:v>79000</c:v>
                </c:pt>
                <c:pt idx="4">
                  <c:v>123000</c:v>
                </c:pt>
                <c:pt idx="5">
                  <c:v>65000</c:v>
                </c:pt>
                <c:pt idx="6">
                  <c:v>630000</c:v>
                </c:pt>
                <c:pt idx="7">
                  <c:v>501000</c:v>
                </c:pt>
                <c:pt idx="8">
                  <c:v>200000</c:v>
                </c:pt>
                <c:pt idx="9">
                  <c:v>579000</c:v>
                </c:pt>
                <c:pt idx="10">
                  <c:v>511000</c:v>
                </c:pt>
                <c:pt idx="11">
                  <c:v>587000</c:v>
                </c:pt>
                <c:pt idx="12">
                  <c:v>399000</c:v>
                </c:pt>
                <c:pt idx="13">
                  <c:v>235000</c:v>
                </c:pt>
                <c:pt idx="14">
                  <c:v>1867000</c:v>
                </c:pt>
                <c:pt idx="15">
                  <c:v>230000</c:v>
                </c:pt>
                <c:pt idx="16">
                  <c:v>88000</c:v>
                </c:pt>
                <c:pt idx="17">
                  <c:v>162000</c:v>
                </c:pt>
                <c:pt idx="18">
                  <c:v>1766000</c:v>
                </c:pt>
                <c:pt idx="19">
                  <c:v>423000</c:v>
                </c:pt>
                <c:pt idx="20">
                  <c:v>959000</c:v>
                </c:pt>
                <c:pt idx="21">
                  <c:v>65000</c:v>
                </c:pt>
                <c:pt idx="22">
                  <c:v>83000</c:v>
                </c:pt>
                <c:pt idx="23">
                  <c:v>148000</c:v>
                </c:pt>
                <c:pt idx="24">
                  <c:v>315000</c:v>
                </c:pt>
                <c:pt idx="25">
                  <c:v>1309000</c:v>
                </c:pt>
                <c:pt idx="26">
                  <c:v>871000</c:v>
                </c:pt>
                <c:pt idx="27">
                  <c:v>127000</c:v>
                </c:pt>
                <c:pt idx="28">
                  <c:v>422000</c:v>
                </c:pt>
                <c:pt idx="29">
                  <c:v>430000</c:v>
                </c:pt>
                <c:pt idx="30">
                  <c:v>453000</c:v>
                </c:pt>
                <c:pt idx="31">
                  <c:v>573000</c:v>
                </c:pt>
                <c:pt idx="32">
                  <c:v>609000</c:v>
                </c:pt>
                <c:pt idx="33">
                  <c:v>769000</c:v>
                </c:pt>
                <c:pt idx="34">
                  <c:v>370000</c:v>
                </c:pt>
                <c:pt idx="35">
                  <c:v>412000</c:v>
                </c:pt>
                <c:pt idx="36">
                  <c:v>186000</c:v>
                </c:pt>
                <c:pt idx="37">
                  <c:v>204000</c:v>
                </c:pt>
                <c:pt idx="38">
                  <c:v>98000</c:v>
                </c:pt>
                <c:pt idx="39">
                  <c:v>252000</c:v>
                </c:pt>
                <c:pt idx="40">
                  <c:v>400000</c:v>
                </c:pt>
                <c:pt idx="41">
                  <c:v>308000</c:v>
                </c:pt>
                <c:pt idx="42">
                  <c:v>68000</c:v>
                </c:pt>
                <c:pt idx="43">
                  <c:v>421000</c:v>
                </c:pt>
                <c:pt idx="44">
                  <c:v>1234000</c:v>
                </c:pt>
                <c:pt idx="45">
                  <c:v>189000</c:v>
                </c:pt>
                <c:pt idx="46">
                  <c:v>393000</c:v>
                </c:pt>
                <c:pt idx="47">
                  <c:v>914000</c:v>
                </c:pt>
                <c:pt idx="48">
                  <c:v>190000</c:v>
                </c:pt>
                <c:pt idx="49">
                  <c:v>573000</c:v>
                </c:pt>
                <c:pt idx="50">
                  <c:v>442000</c:v>
                </c:pt>
                <c:pt idx="51">
                  <c:v>921000</c:v>
                </c:pt>
                <c:pt idx="52">
                  <c:v>602000</c:v>
                </c:pt>
                <c:pt idx="53">
                  <c:v>408000</c:v>
                </c:pt>
                <c:pt idx="54">
                  <c:v>429000</c:v>
                </c:pt>
                <c:pt idx="55">
                  <c:v>1866000</c:v>
                </c:pt>
                <c:pt idx="56">
                  <c:v>609000</c:v>
                </c:pt>
                <c:pt idx="57">
                  <c:v>435000</c:v>
                </c:pt>
                <c:pt idx="58">
                  <c:v>1833000</c:v>
                </c:pt>
                <c:pt idx="59">
                  <c:v>224000</c:v>
                </c:pt>
                <c:pt idx="60">
                  <c:v>214000</c:v>
                </c:pt>
                <c:pt idx="61">
                  <c:v>764000</c:v>
                </c:pt>
                <c:pt idx="62">
                  <c:v>558000</c:v>
                </c:pt>
                <c:pt idx="63">
                  <c:v>375000</c:v>
                </c:pt>
                <c:pt idx="64">
                  <c:v>420000</c:v>
                </c:pt>
                <c:pt idx="65">
                  <c:v>154000</c:v>
                </c:pt>
                <c:pt idx="66">
                  <c:v>126000</c:v>
                </c:pt>
                <c:pt idx="67">
                  <c:v>316000</c:v>
                </c:pt>
                <c:pt idx="68">
                  <c:v>92000</c:v>
                </c:pt>
                <c:pt idx="69">
                  <c:v>462000</c:v>
                </c:pt>
                <c:pt idx="70">
                  <c:v>1182000</c:v>
                </c:pt>
                <c:pt idx="71">
                  <c:v>964000</c:v>
                </c:pt>
                <c:pt idx="72">
                  <c:v>332000</c:v>
                </c:pt>
                <c:pt idx="73">
                  <c:v>1422000</c:v>
                </c:pt>
                <c:pt idx="74">
                  <c:v>1576000</c:v>
                </c:pt>
                <c:pt idx="75">
                  <c:v>538000</c:v>
                </c:pt>
                <c:pt idx="76">
                  <c:v>531000</c:v>
                </c:pt>
                <c:pt idx="77">
                  <c:v>337000</c:v>
                </c:pt>
                <c:pt idx="78">
                  <c:v>827000</c:v>
                </c:pt>
                <c:pt idx="79">
                  <c:v>226000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4C-144B-B725-C135A253C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459983"/>
        <c:axId val="489461695"/>
      </c:scatterChart>
      <c:valAx>
        <c:axId val="489459983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>
                    <a:solidFill>
                      <a:schemeClr val="tx1"/>
                    </a:solidFill>
                  </a:rPr>
                  <a:t>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461695"/>
        <c:crosses val="autoZero"/>
        <c:crossBetween val="midCat"/>
      </c:valAx>
      <c:valAx>
        <c:axId val="48946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>
                    <a:solidFill>
                      <a:schemeClr val="tx1"/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459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Overhead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'overhead sales'!$C$2:$C$81</c:f>
              <c:numCache>
                <c:formatCode>"$"#,##0.0</c:formatCode>
                <c:ptCount val="80"/>
                <c:pt idx="0">
                  <c:v>88.8</c:v>
                </c:pt>
                <c:pt idx="1">
                  <c:v>64.599999999999994</c:v>
                </c:pt>
                <c:pt idx="2">
                  <c:v>58.6</c:v>
                </c:pt>
                <c:pt idx="3">
                  <c:v>57.1</c:v>
                </c:pt>
                <c:pt idx="4">
                  <c:v>77.400000000000006</c:v>
                </c:pt>
                <c:pt idx="5">
                  <c:v>57.8</c:v>
                </c:pt>
                <c:pt idx="6">
                  <c:v>70</c:v>
                </c:pt>
                <c:pt idx="7">
                  <c:v>63.8</c:v>
                </c:pt>
                <c:pt idx="8">
                  <c:v>78.5</c:v>
                </c:pt>
                <c:pt idx="9">
                  <c:v>69.7</c:v>
                </c:pt>
                <c:pt idx="10">
                  <c:v>67.599999999999994</c:v>
                </c:pt>
                <c:pt idx="11">
                  <c:v>76.3</c:v>
                </c:pt>
                <c:pt idx="12">
                  <c:v>66.5</c:v>
                </c:pt>
                <c:pt idx="13">
                  <c:v>61.9</c:v>
                </c:pt>
                <c:pt idx="14">
                  <c:v>85.3</c:v>
                </c:pt>
                <c:pt idx="15">
                  <c:v>71.099999999999994</c:v>
                </c:pt>
                <c:pt idx="16">
                  <c:v>58.1</c:v>
                </c:pt>
                <c:pt idx="17">
                  <c:v>63.1</c:v>
                </c:pt>
                <c:pt idx="18">
                  <c:v>80.900000000000006</c:v>
                </c:pt>
                <c:pt idx="19">
                  <c:v>66.599999999999994</c:v>
                </c:pt>
                <c:pt idx="20">
                  <c:v>86</c:v>
                </c:pt>
                <c:pt idx="21">
                  <c:v>65.599999999999994</c:v>
                </c:pt>
                <c:pt idx="22">
                  <c:v>54.5</c:v>
                </c:pt>
                <c:pt idx="23">
                  <c:v>71.3</c:v>
                </c:pt>
                <c:pt idx="24">
                  <c:v>69.400000000000006</c:v>
                </c:pt>
                <c:pt idx="25">
                  <c:v>79.599999999999994</c:v>
                </c:pt>
                <c:pt idx="26">
                  <c:v>71</c:v>
                </c:pt>
                <c:pt idx="27">
                  <c:v>60.4</c:v>
                </c:pt>
                <c:pt idx="28">
                  <c:v>65.8</c:v>
                </c:pt>
                <c:pt idx="29">
                  <c:v>71.900000000000006</c:v>
                </c:pt>
                <c:pt idx="30">
                  <c:v>72.599999999999994</c:v>
                </c:pt>
                <c:pt idx="31">
                  <c:v>79</c:v>
                </c:pt>
                <c:pt idx="32">
                  <c:v>73.2</c:v>
                </c:pt>
                <c:pt idx="33">
                  <c:v>83.6</c:v>
                </c:pt>
                <c:pt idx="34">
                  <c:v>66.8</c:v>
                </c:pt>
                <c:pt idx="35">
                  <c:v>79.099999999999994</c:v>
                </c:pt>
                <c:pt idx="36">
                  <c:v>60</c:v>
                </c:pt>
                <c:pt idx="37">
                  <c:v>82</c:v>
                </c:pt>
                <c:pt idx="38">
                  <c:v>67.2</c:v>
                </c:pt>
                <c:pt idx="39">
                  <c:v>60.9</c:v>
                </c:pt>
                <c:pt idx="40">
                  <c:v>69.5</c:v>
                </c:pt>
                <c:pt idx="41">
                  <c:v>69.7</c:v>
                </c:pt>
                <c:pt idx="42">
                  <c:v>69.2</c:v>
                </c:pt>
                <c:pt idx="43">
                  <c:v>78.7</c:v>
                </c:pt>
                <c:pt idx="44">
                  <c:v>76.400000000000006</c:v>
                </c:pt>
                <c:pt idx="45">
                  <c:v>62.2</c:v>
                </c:pt>
                <c:pt idx="46">
                  <c:v>74.7</c:v>
                </c:pt>
                <c:pt idx="47">
                  <c:v>66.2</c:v>
                </c:pt>
                <c:pt idx="48">
                  <c:v>74.599999999999994</c:v>
                </c:pt>
                <c:pt idx="49">
                  <c:v>60.9</c:v>
                </c:pt>
                <c:pt idx="50">
                  <c:v>69.7</c:v>
                </c:pt>
                <c:pt idx="51">
                  <c:v>81.599999999999994</c:v>
                </c:pt>
                <c:pt idx="52">
                  <c:v>64.8</c:v>
                </c:pt>
                <c:pt idx="53">
                  <c:v>68.099999999999994</c:v>
                </c:pt>
                <c:pt idx="54">
                  <c:v>59.8</c:v>
                </c:pt>
                <c:pt idx="55">
                  <c:v>85.6</c:v>
                </c:pt>
                <c:pt idx="56">
                  <c:v>76</c:v>
                </c:pt>
                <c:pt idx="57">
                  <c:v>74.8</c:v>
                </c:pt>
                <c:pt idx="58">
                  <c:v>75.599999999999994</c:v>
                </c:pt>
                <c:pt idx="59">
                  <c:v>55.2</c:v>
                </c:pt>
                <c:pt idx="60">
                  <c:v>76.7</c:v>
                </c:pt>
                <c:pt idx="61">
                  <c:v>79.2</c:v>
                </c:pt>
                <c:pt idx="62">
                  <c:v>72.2</c:v>
                </c:pt>
                <c:pt idx="63">
                  <c:v>65.900000000000006</c:v>
                </c:pt>
                <c:pt idx="64">
                  <c:v>73</c:v>
                </c:pt>
                <c:pt idx="65">
                  <c:v>60.1</c:v>
                </c:pt>
                <c:pt idx="66">
                  <c:v>56.4</c:v>
                </c:pt>
                <c:pt idx="67">
                  <c:v>68.5</c:v>
                </c:pt>
                <c:pt idx="68">
                  <c:v>61</c:v>
                </c:pt>
                <c:pt idx="69">
                  <c:v>70.400000000000006</c:v>
                </c:pt>
                <c:pt idx="70">
                  <c:v>72.599999999999994</c:v>
                </c:pt>
                <c:pt idx="71">
                  <c:v>84.1</c:v>
                </c:pt>
                <c:pt idx="72">
                  <c:v>72.400000000000006</c:v>
                </c:pt>
                <c:pt idx="73">
                  <c:v>72.7</c:v>
                </c:pt>
                <c:pt idx="74">
                  <c:v>74.8</c:v>
                </c:pt>
                <c:pt idx="75">
                  <c:v>68.599999999999994</c:v>
                </c:pt>
                <c:pt idx="76">
                  <c:v>72.400000000000006</c:v>
                </c:pt>
                <c:pt idx="77">
                  <c:v>68.7</c:v>
                </c:pt>
                <c:pt idx="78">
                  <c:v>70</c:v>
                </c:pt>
                <c:pt idx="79">
                  <c:v>80.5</c:v>
                </c:pt>
              </c:numCache>
            </c:numRef>
          </c:xVal>
          <c:yVal>
            <c:numRef>
              <c:f>'overhead residual'!$C$25:$C$104</c:f>
              <c:numCache>
                <c:formatCode>General</c:formatCode>
                <c:ptCount val="80"/>
                <c:pt idx="0">
                  <c:v>-110200.28958282177</c:v>
                </c:pt>
                <c:pt idx="1">
                  <c:v>-94758.568516394007</c:v>
                </c:pt>
                <c:pt idx="2">
                  <c:v>86739.378855447227</c:v>
                </c:pt>
                <c:pt idx="3">
                  <c:v>-20886.134301592378</c:v>
                </c:pt>
                <c:pt idx="4">
                  <c:v>-631554.18957632279</c:v>
                </c:pt>
                <c:pt idx="5">
                  <c:v>-57460.894828307224</c:v>
                </c:pt>
                <c:pt idx="6">
                  <c:v>114093.27884894836</c:v>
                </c:pt>
                <c:pt idx="7">
                  <c:v>185041.15779985127</c:v>
                </c:pt>
                <c:pt idx="8">
                  <c:v>-590028.81326116039</c:v>
                </c:pt>
                <c:pt idx="9">
                  <c:v>72768.176217540458</c:v>
                </c:pt>
                <c:pt idx="10">
                  <c:v>72492.457797684998</c:v>
                </c:pt>
                <c:pt idx="11">
                  <c:v>-132079.5658914852</c:v>
                </c:pt>
                <c:pt idx="12">
                  <c:v>-4032.9185174774029</c:v>
                </c:pt>
                <c:pt idx="13">
                  <c:v>-19684.4921990656</c:v>
                </c:pt>
                <c:pt idx="14">
                  <c:v>857673.51305075258</c:v>
                </c:pt>
                <c:pt idx="15">
                  <c:v>-321381.34483588918</c:v>
                </c:pt>
                <c:pt idx="16">
                  <c:v>-44135.792196899303</c:v>
                </c:pt>
                <c:pt idx="17">
                  <c:v>-131384.08167343389</c:v>
                </c:pt>
                <c:pt idx="18">
                  <c:v>898572.00779010297</c:v>
                </c:pt>
                <c:pt idx="19">
                  <c:v>16742.11569299188</c:v>
                </c:pt>
                <c:pt idx="20">
                  <c:v>-72901.247475962271</c:v>
                </c:pt>
                <c:pt idx="21">
                  <c:v>-309008.22641170118</c:v>
                </c:pt>
                <c:pt idx="22">
                  <c:v>66962.976226205603</c:v>
                </c:pt>
                <c:pt idx="23">
                  <c:v>-409831.27641495061</c:v>
                </c:pt>
                <c:pt idx="24">
                  <c:v>-181556.92641386745</c:v>
                </c:pt>
                <c:pt idx="25">
                  <c:v>483496.56305400201</c:v>
                </c:pt>
                <c:pt idx="26">
                  <c:v>322843.62095364148</c:v>
                </c:pt>
                <c:pt idx="27">
                  <c:v>-79310.005356105219</c:v>
                </c:pt>
                <c:pt idx="28">
                  <c:v>41541.842009237444</c:v>
                </c:pt>
                <c:pt idx="29">
                  <c:v>-147181.0711521348</c:v>
                </c:pt>
                <c:pt idx="30">
                  <c:v>-146755.83167884964</c:v>
                </c:pt>
                <c:pt idx="31">
                  <c:v>-233153.64220881392</c:v>
                </c:pt>
                <c:pt idx="32">
                  <c:v>-10105.626416033716</c:v>
                </c:pt>
                <c:pt idx="33">
                  <c:v>-185502.06852722575</c:v>
                </c:pt>
                <c:pt idx="34">
                  <c:v>-42707.815886069497</c:v>
                </c:pt>
                <c:pt idx="35">
                  <c:v>-397378.60799834458</c:v>
                </c:pt>
                <c:pt idx="36">
                  <c:v>-7410.1421979824372</c:v>
                </c:pt>
                <c:pt idx="37">
                  <c:v>-698902.61589473463</c:v>
                </c:pt>
                <c:pt idx="38">
                  <c:v>-327607.67904419225</c:v>
                </c:pt>
                <c:pt idx="39">
                  <c:v>29565.16569624134</c:v>
                </c:pt>
                <c:pt idx="40">
                  <c:v>-99781.892203398165</c:v>
                </c:pt>
                <c:pt idx="41">
                  <c:v>-198231.82378245954</c:v>
                </c:pt>
                <c:pt idx="42">
                  <c:v>-422106.99483480607</c:v>
                </c:pt>
                <c:pt idx="43">
                  <c:v>-375478.74484022183</c:v>
                </c:pt>
                <c:pt idx="44">
                  <c:v>511695.46831898415</c:v>
                </c:pt>
                <c:pt idx="45">
                  <c:v>-75359.389567657665</c:v>
                </c:pt>
                <c:pt idx="46">
                  <c:v>-274480.11325899418</c:v>
                </c:pt>
                <c:pt idx="47">
                  <c:v>520641.97885111469</c:v>
                </c:pt>
                <c:pt idx="48">
                  <c:v>-474255.14746946341</c:v>
                </c:pt>
                <c:pt idx="49">
                  <c:v>350565.16569624131</c:v>
                </c:pt>
                <c:pt idx="50">
                  <c:v>-64231.823782459542</c:v>
                </c:pt>
                <c:pt idx="51">
                  <c:v>30997.247263388126</c:v>
                </c:pt>
                <c:pt idx="52">
                  <c:v>253791.49990454433</c:v>
                </c:pt>
                <c:pt idx="53">
                  <c:v>-46632.371149968472</c:v>
                </c:pt>
                <c:pt idx="54">
                  <c:v>242039.78938107894</c:v>
                </c:pt>
                <c:pt idx="55">
                  <c:v>846998.61568216048</c:v>
                </c:pt>
                <c:pt idx="56">
                  <c:v>-100404.6685228931</c:v>
                </c:pt>
                <c:pt idx="57">
                  <c:v>-235705.07904852484</c:v>
                </c:pt>
                <c:pt idx="58">
                  <c:v>1136495.1946352297</c:v>
                </c:pt>
                <c:pt idx="59">
                  <c:v>185388.21569949074</c:v>
                </c:pt>
                <c:pt idx="60">
                  <c:v>-517979.42904960795</c:v>
                </c:pt>
                <c:pt idx="61">
                  <c:v>-48603.573787875241</c:v>
                </c:pt>
                <c:pt idx="62">
                  <c:v>-28855.968520726892</c:v>
                </c:pt>
                <c:pt idx="63">
                  <c:v>-8683.1237802932737</c:v>
                </c:pt>
                <c:pt idx="64">
                  <c:v>-192655.6948369724</c:v>
                </c:pt>
                <c:pt idx="65">
                  <c:v>-42635.107987513125</c:v>
                </c:pt>
                <c:pt idx="66">
                  <c:v>48688.626225122454</c:v>
                </c:pt>
                <c:pt idx="67">
                  <c:v>-151532.23430809123</c:v>
                </c:pt>
                <c:pt idx="68">
                  <c:v>-133659.80009328935</c:v>
                </c:pt>
                <c:pt idx="69">
                  <c:v>-66806.58430917433</c:v>
                </c:pt>
                <c:pt idx="70">
                  <c:v>582244.16832115036</c:v>
                </c:pt>
                <c:pt idx="71">
                  <c:v>-6626.8974748791661</c:v>
                </c:pt>
                <c:pt idx="72">
                  <c:v>-261305.90009978821</c:v>
                </c:pt>
                <c:pt idx="73">
                  <c:v>819019.2025316197</c:v>
                </c:pt>
                <c:pt idx="74">
                  <c:v>905294.92095147516</c:v>
                </c:pt>
                <c:pt idx="75">
                  <c:v>67242.799902378058</c:v>
                </c:pt>
                <c:pt idx="76">
                  <c:v>-62305.90009978821</c:v>
                </c:pt>
                <c:pt idx="77">
                  <c:v>-136982.1658871526</c:v>
                </c:pt>
                <c:pt idx="78">
                  <c:v>311093.27884894836</c:v>
                </c:pt>
                <c:pt idx="79">
                  <c:v>-628528.12905177427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20-F44B-A07C-FCFD30108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207664"/>
        <c:axId val="2060620496"/>
      </c:scatterChart>
      <c:valAx>
        <c:axId val="1983207664"/>
        <c:scaling>
          <c:orientation val="minMax"/>
          <c:min val="500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Overhead </a:t>
                </a:r>
              </a:p>
            </c:rich>
          </c:tx>
          <c:overlay val="0"/>
        </c:title>
        <c:numFmt formatCode="&quot;$&quot;#,##0.0" sourceLinked="1"/>
        <c:majorTickMark val="out"/>
        <c:minorTickMark val="none"/>
        <c:tickLblPos val="nextTo"/>
        <c:crossAx val="2060620496"/>
        <c:crosses val="autoZero"/>
        <c:crossBetween val="midCat"/>
      </c:valAx>
      <c:valAx>
        <c:axId val="20606204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32076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Overhead</a:t>
            </a:r>
            <a:r>
              <a:rPr lang="en-US" baseline="0"/>
              <a:t> natural log $</a:t>
            </a:r>
            <a:r>
              <a:rPr lang="en-US"/>
              <a:t>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'overhead sales'!$E$2:$E$81</c:f>
              <c:numCache>
                <c:formatCode>"$"#,##0.00000000000000000000</c:formatCode>
                <c:ptCount val="80"/>
                <c:pt idx="0">
                  <c:v>4.4863866499981242</c:v>
                </c:pt>
                <c:pt idx="1">
                  <c:v>4.1682144107885559</c:v>
                </c:pt>
                <c:pt idx="2">
                  <c:v>4.0707346965829672</c:v>
                </c:pt>
                <c:pt idx="3">
                  <c:v>4.0448041166619646</c:v>
                </c:pt>
                <c:pt idx="4">
                  <c:v>4.3489867805956814</c:v>
                </c:pt>
                <c:pt idx="5">
                  <c:v>4.0569887756783318</c:v>
                </c:pt>
                <c:pt idx="6">
                  <c:v>4.2484952420493594</c:v>
                </c:pt>
                <c:pt idx="7">
                  <c:v>4.1557531903507439</c:v>
                </c:pt>
                <c:pt idx="8">
                  <c:v>4.3630986247883632</c:v>
                </c:pt>
                <c:pt idx="9">
                  <c:v>4.2442003177664782</c:v>
                </c:pt>
                <c:pt idx="10">
                  <c:v>4.2136079830489184</c:v>
                </c:pt>
                <c:pt idx="11">
                  <c:v>4.334672938290411</c:v>
                </c:pt>
                <c:pt idx="12">
                  <c:v>4.1972019476618083</c:v>
                </c:pt>
                <c:pt idx="13">
                  <c:v>4.1255201796905503</c:v>
                </c:pt>
                <c:pt idx="14">
                  <c:v>4.4461744544976334</c:v>
                </c:pt>
                <c:pt idx="15">
                  <c:v>4.2640873368091947</c:v>
                </c:pt>
                <c:pt idx="16">
                  <c:v>4.0621656638578658</c:v>
                </c:pt>
                <c:pt idx="17">
                  <c:v>4.1447207695471677</c:v>
                </c:pt>
                <c:pt idx="18">
                  <c:v>4.3932138240644463</c:v>
                </c:pt>
                <c:pt idx="19">
                  <c:v>4.1987045775463434</c:v>
                </c:pt>
                <c:pt idx="20">
                  <c:v>4.4543472962535073</c:v>
                </c:pt>
                <c:pt idx="21">
                  <c:v>4.1835756959500436</c:v>
                </c:pt>
                <c:pt idx="22">
                  <c:v>3.9982007016691985</c:v>
                </c:pt>
                <c:pt idx="23">
                  <c:v>4.26689632742025</c:v>
                </c:pt>
                <c:pt idx="24">
                  <c:v>4.2398868675127588</c:v>
                </c:pt>
                <c:pt idx="25">
                  <c:v>4.3770140928503372</c:v>
                </c:pt>
                <c:pt idx="26">
                  <c:v>4.2626798770413155</c:v>
                </c:pt>
                <c:pt idx="27">
                  <c:v>4.1009891049407692</c:v>
                </c:pt>
                <c:pt idx="28">
                  <c:v>4.1866198383312714</c:v>
                </c:pt>
                <c:pt idx="29">
                  <c:v>4.2752762647270011</c:v>
                </c:pt>
                <c:pt idx="30">
                  <c:v>4.28496492183075</c:v>
                </c:pt>
                <c:pt idx="31">
                  <c:v>4.3694478524670215</c:v>
                </c:pt>
                <c:pt idx="32">
                  <c:v>4.2931954209672663</c:v>
                </c:pt>
                <c:pt idx="33">
                  <c:v>4.4260435200906558</c:v>
                </c:pt>
                <c:pt idx="34">
                  <c:v>4.2017030805426003</c:v>
                </c:pt>
                <c:pt idx="35">
                  <c:v>4.3707128747736084</c:v>
                </c:pt>
                <c:pt idx="36">
                  <c:v>4.0943445622221004</c:v>
                </c:pt>
                <c:pt idx="37">
                  <c:v>4.4067192472642533</c:v>
                </c:pt>
                <c:pt idx="38">
                  <c:v>4.2076732475291037</c:v>
                </c:pt>
                <c:pt idx="39">
                  <c:v>4.1092331747158513</c:v>
                </c:pt>
                <c:pt idx="40">
                  <c:v>4.2413267525707461</c:v>
                </c:pt>
                <c:pt idx="41">
                  <c:v>4.2442003177664782</c:v>
                </c:pt>
                <c:pt idx="42">
                  <c:v>4.2370008626236242</c:v>
                </c:pt>
                <c:pt idx="43">
                  <c:v>4.3656431554233572</c:v>
                </c:pt>
                <c:pt idx="44">
                  <c:v>4.3359826961724748</c:v>
                </c:pt>
                <c:pt idx="45">
                  <c:v>4.1303549997451334</c:v>
                </c:pt>
                <c:pt idx="46">
                  <c:v>4.3134800921387715</c:v>
                </c:pt>
                <c:pt idx="47">
                  <c:v>4.1926804629429624</c:v>
                </c:pt>
                <c:pt idx="48">
                  <c:v>4.3121405072097154</c:v>
                </c:pt>
                <c:pt idx="49">
                  <c:v>4.1092331747158513</c:v>
                </c:pt>
                <c:pt idx="50">
                  <c:v>4.2442003177664782</c:v>
                </c:pt>
                <c:pt idx="51">
                  <c:v>4.401829261970061</c:v>
                </c:pt>
                <c:pt idx="52">
                  <c:v>4.1713056033582285</c:v>
                </c:pt>
                <c:pt idx="53">
                  <c:v>4.220977213155467</c:v>
                </c:pt>
                <c:pt idx="54">
                  <c:v>4.0910056609565864</c:v>
                </c:pt>
                <c:pt idx="55">
                  <c:v>4.4496852831476961</c:v>
                </c:pt>
                <c:pt idx="56">
                  <c:v>4.3307333402863311</c:v>
                </c:pt>
                <c:pt idx="57">
                  <c:v>4.3148178849804317</c:v>
                </c:pt>
                <c:pt idx="58">
                  <c:v>4.3254562831854875</c:v>
                </c:pt>
                <c:pt idx="59">
                  <c:v>4.01096295328305</c:v>
                </c:pt>
                <c:pt idx="60">
                  <c:v>4.3399017083732101</c:v>
                </c:pt>
                <c:pt idx="61">
                  <c:v>4.3719762988203801</c:v>
                </c:pt>
                <c:pt idx="62">
                  <c:v>4.2794400458987809</c:v>
                </c:pt>
                <c:pt idx="63">
                  <c:v>4.1881384415084613</c:v>
                </c:pt>
                <c:pt idx="64">
                  <c:v>4.290459441148391</c:v>
                </c:pt>
                <c:pt idx="65">
                  <c:v>4.0960098415411617</c:v>
                </c:pt>
                <c:pt idx="66">
                  <c:v>4.0324691585040133</c:v>
                </c:pt>
                <c:pt idx="67">
                  <c:v>4.2268337452681797</c:v>
                </c:pt>
                <c:pt idx="68">
                  <c:v>4.1108738641733114</c:v>
                </c:pt>
                <c:pt idx="69">
                  <c:v>4.2541932631639972</c:v>
                </c:pt>
                <c:pt idx="70">
                  <c:v>4.28496492183075</c:v>
                </c:pt>
                <c:pt idx="71">
                  <c:v>4.4320065669789024</c:v>
                </c:pt>
                <c:pt idx="72">
                  <c:v>4.282206299391671</c:v>
                </c:pt>
                <c:pt idx="73">
                  <c:v>4.2863413845394733</c:v>
                </c:pt>
                <c:pt idx="74">
                  <c:v>4.3148178849804317</c:v>
                </c:pt>
                <c:pt idx="75">
                  <c:v>4.2282925347318399</c:v>
                </c:pt>
                <c:pt idx="76">
                  <c:v>4.282206299391671</c:v>
                </c:pt>
                <c:pt idx="77">
                  <c:v>4.2297491992283041</c:v>
                </c:pt>
                <c:pt idx="78">
                  <c:v>4.2484952420493594</c:v>
                </c:pt>
                <c:pt idx="79">
                  <c:v>4.3882571844245177</c:v>
                </c:pt>
              </c:numCache>
            </c:numRef>
          </c:xVal>
          <c:yVal>
            <c:numRef>
              <c:f>'log residual'!$C$25:$C$104</c:f>
              <c:numCache>
                <c:formatCode>General</c:formatCode>
                <c:ptCount val="80"/>
                <c:pt idx="0">
                  <c:v>23502228.501552939</c:v>
                </c:pt>
                <c:pt idx="1">
                  <c:v>-80566798.23405236</c:v>
                </c:pt>
                <c:pt idx="2">
                  <c:v>-69226847.403177738</c:v>
                </c:pt>
                <c:pt idx="3">
                  <c:v>285663061.10944664</c:v>
                </c:pt>
                <c:pt idx="4">
                  <c:v>122175860.7162848</c:v>
                </c:pt>
                <c:pt idx="5">
                  <c:v>363077647.25538301</c:v>
                </c:pt>
                <c:pt idx="6">
                  <c:v>-136375879.30696833</c:v>
                </c:pt>
                <c:pt idx="7">
                  <c:v>-158002388.14479792</c:v>
                </c:pt>
                <c:pt idx="8">
                  <c:v>-28648989.608017772</c:v>
                </c:pt>
                <c:pt idx="9">
                  <c:v>-147813932.63579381</c:v>
                </c:pt>
                <c:pt idx="10">
                  <c:v>-157264490.99911106</c:v>
                </c:pt>
                <c:pt idx="11">
                  <c:v>-146244869.22824419</c:v>
                </c:pt>
                <c:pt idx="12">
                  <c:v>-153317355.62987292</c:v>
                </c:pt>
                <c:pt idx="13">
                  <c:v>-69226847.403177738</c:v>
                </c:pt>
                <c:pt idx="14">
                  <c:v>591500701.46790743</c:v>
                </c:pt>
                <c:pt idx="15">
                  <c:v>-64148025.613929987</c:v>
                </c:pt>
                <c:pt idx="16">
                  <c:v>244101206.52071857</c:v>
                </c:pt>
                <c:pt idx="17">
                  <c:v>32104821.213375509</c:v>
                </c:pt>
                <c:pt idx="18">
                  <c:v>516564870.01461196</c:v>
                </c:pt>
                <c:pt idx="19">
                  <c:v>-156691392.85773361</c:v>
                </c:pt>
                <c:pt idx="20">
                  <c:v>-4287940.808161974</c:v>
                </c:pt>
                <c:pt idx="21">
                  <c:v>363077647.25538301</c:v>
                </c:pt>
                <c:pt idx="22">
                  <c:v>266515287.081815</c:v>
                </c:pt>
                <c:pt idx="23">
                  <c:v>60463054.047458649</c:v>
                </c:pt>
                <c:pt idx="24">
                  <c:v>-126534428.44171619</c:v>
                </c:pt>
                <c:pt idx="25">
                  <c:v>199902953.43201017</c:v>
                </c:pt>
                <c:pt idx="26">
                  <c:v>-47181075.302940249</c:v>
                </c:pt>
                <c:pt idx="27">
                  <c:v>111177871.99290092</c:v>
                </c:pt>
                <c:pt idx="28">
                  <c:v>-156582168.31567287</c:v>
                </c:pt>
                <c:pt idx="29">
                  <c:v>-157383312.42592239</c:v>
                </c:pt>
                <c:pt idx="30">
                  <c:v>-158803070.48981285</c:v>
                </c:pt>
                <c:pt idx="31">
                  <c:v>-148932147.34485614</c:v>
                </c:pt>
                <c:pt idx="32">
                  <c:v>-141488013.72549713</c:v>
                </c:pt>
                <c:pt idx="33">
                  <c:v>-90810600.650503755</c:v>
                </c:pt>
                <c:pt idx="34">
                  <c:v>-146953986.23529059</c:v>
                </c:pt>
                <c:pt idx="35">
                  <c:v>-155343088.90823209</c:v>
                </c:pt>
                <c:pt idx="36">
                  <c:v>-8638941.2201400995</c:v>
                </c:pt>
                <c:pt idx="37">
                  <c:v>-33929434.457606494</c:v>
                </c:pt>
                <c:pt idx="38">
                  <c:v>203660402.46869153</c:v>
                </c:pt>
                <c:pt idx="39">
                  <c:v>-84958839.024218082</c:v>
                </c:pt>
                <c:pt idx="40">
                  <c:v>-153490440.47326994</c:v>
                </c:pt>
                <c:pt idx="41">
                  <c:v>-123002588.5889281</c:v>
                </c:pt>
                <c:pt idx="42">
                  <c:v>344932083.8436712</c:v>
                </c:pt>
                <c:pt idx="43">
                  <c:v>-156470312.15894771</c:v>
                </c:pt>
                <c:pt idx="44">
                  <c:v>152554335.7097764</c:v>
                </c:pt>
                <c:pt idx="45">
                  <c:v>-13137455.594992518</c:v>
                </c:pt>
                <c:pt idx="46">
                  <c:v>-152216505.38599885</c:v>
                </c:pt>
                <c:pt idx="47">
                  <c:v>-26764522.836999893</c:v>
                </c:pt>
                <c:pt idx="48">
                  <c:v>-14610533.366948873</c:v>
                </c:pt>
                <c:pt idx="49">
                  <c:v>-148932147.34485614</c:v>
                </c:pt>
                <c:pt idx="50">
                  <c:v>-158282672.17143357</c:v>
                </c:pt>
                <c:pt idx="51">
                  <c:v>-23340049.77390635</c:v>
                </c:pt>
                <c:pt idx="52">
                  <c:v>-143070067.25281978</c:v>
                </c:pt>
                <c:pt idx="53">
                  <c:v>-154770885.32285857</c:v>
                </c:pt>
                <c:pt idx="54">
                  <c:v>-157292166.06516063</c:v>
                </c:pt>
                <c:pt idx="55">
                  <c:v>590751784.86541557</c:v>
                </c:pt>
                <c:pt idx="56">
                  <c:v>-141488013.72549713</c:v>
                </c:pt>
                <c:pt idx="57">
                  <c:v>-157801258.89859974</c:v>
                </c:pt>
                <c:pt idx="58">
                  <c:v>566113918.56318808</c:v>
                </c:pt>
                <c:pt idx="59">
                  <c:v>-57760155.017418087</c:v>
                </c:pt>
                <c:pt idx="60">
                  <c:v>-46357022.404257923</c:v>
                </c:pt>
                <c:pt idx="61">
                  <c:v>-92753530.774081707</c:v>
                </c:pt>
                <c:pt idx="62">
                  <c:v>-151500459.52141869</c:v>
                </c:pt>
                <c:pt idx="63">
                  <c:v>-148244646.46154141</c:v>
                </c:pt>
                <c:pt idx="64">
                  <c:v>-156355811.87094176</c:v>
                </c:pt>
                <c:pt idx="65">
                  <c:v>47838862.276324004</c:v>
                </c:pt>
                <c:pt idx="66">
                  <c:v>113882611.84103401</c:v>
                </c:pt>
                <c:pt idx="67">
                  <c:v>-127019840.62105662</c:v>
                </c:pt>
                <c:pt idx="68">
                  <c:v>227269014.66881925</c:v>
                </c:pt>
                <c:pt idx="69">
                  <c:v>-159022656.02495468</c:v>
                </c:pt>
                <c:pt idx="70">
                  <c:v>120731004.51486754</c:v>
                </c:pt>
                <c:pt idx="71">
                  <c:v>-1725008.9638849497</c:v>
                </c:pt>
                <c:pt idx="72">
                  <c:v>-134167614.64868921</c:v>
                </c:pt>
                <c:pt idx="73">
                  <c:v>274098573.64163828</c:v>
                </c:pt>
                <c:pt idx="74">
                  <c:v>379909621.0856421</c:v>
                </c:pt>
                <c:pt idx="75">
                  <c:v>-154394650.03867924</c:v>
                </c:pt>
                <c:pt idx="76">
                  <c:v>-155256994.39590669</c:v>
                </c:pt>
                <c:pt idx="77">
                  <c:v>-136172934.17748576</c:v>
                </c:pt>
                <c:pt idx="78">
                  <c:v>-66887680.897759795</c:v>
                </c:pt>
                <c:pt idx="79">
                  <c:v>-59925934.893130004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23-EC46-BD9F-6DE6427F9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634656"/>
        <c:axId val="2092751984"/>
      </c:scatterChart>
      <c:valAx>
        <c:axId val="1996634656"/>
        <c:scaling>
          <c:orientation val="minMax"/>
          <c:min val="4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Overhead natural</a:t>
                </a:r>
                <a:r>
                  <a:rPr lang="en-US" baseline="0"/>
                  <a:t> log $</a:t>
                </a:r>
                <a:endParaRPr lang="en-US"/>
              </a:p>
            </c:rich>
          </c:tx>
          <c:overlay val="0"/>
        </c:title>
        <c:numFmt formatCode="&quot;$&quot;#,##0.0" sourceLinked="0"/>
        <c:majorTickMark val="out"/>
        <c:minorTickMark val="none"/>
        <c:tickLblPos val="nextTo"/>
        <c:crossAx val="2092751984"/>
        <c:crosses val="autoZero"/>
        <c:crossBetween val="midCat"/>
      </c:valAx>
      <c:valAx>
        <c:axId val="2092751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663465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Overhead ($000)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'overhead sales'!$G$2:$G$81</c:f>
              <c:numCache>
                <c:formatCode>General</c:formatCode>
                <c:ptCount val="80"/>
                <c:pt idx="0">
                  <c:v>88.8</c:v>
                </c:pt>
                <c:pt idx="1">
                  <c:v>64.599999999999994</c:v>
                </c:pt>
                <c:pt idx="2">
                  <c:v>58.6</c:v>
                </c:pt>
                <c:pt idx="3" formatCode="0.0">
                  <c:v>57.1</c:v>
                </c:pt>
                <c:pt idx="4">
                  <c:v>77.400000000000006</c:v>
                </c:pt>
                <c:pt idx="5" formatCode="0.0">
                  <c:v>57.8</c:v>
                </c:pt>
                <c:pt idx="6">
                  <c:v>70</c:v>
                </c:pt>
                <c:pt idx="7" formatCode="0.0">
                  <c:v>63.8</c:v>
                </c:pt>
                <c:pt idx="8">
                  <c:v>78.5</c:v>
                </c:pt>
                <c:pt idx="9" formatCode="0.0">
                  <c:v>69.7</c:v>
                </c:pt>
                <c:pt idx="10">
                  <c:v>67.599999999999994</c:v>
                </c:pt>
                <c:pt idx="11">
                  <c:v>76.3</c:v>
                </c:pt>
                <c:pt idx="12">
                  <c:v>66.5</c:v>
                </c:pt>
                <c:pt idx="13" formatCode="0.0">
                  <c:v>61.9</c:v>
                </c:pt>
                <c:pt idx="14">
                  <c:v>85.3</c:v>
                </c:pt>
                <c:pt idx="15">
                  <c:v>71.099999999999994</c:v>
                </c:pt>
                <c:pt idx="16" formatCode="0.0">
                  <c:v>58.1</c:v>
                </c:pt>
                <c:pt idx="17">
                  <c:v>63.1</c:v>
                </c:pt>
                <c:pt idx="18" formatCode="0.0">
                  <c:v>80.900000000000006</c:v>
                </c:pt>
                <c:pt idx="19" formatCode="0.0">
                  <c:v>66.599999999999994</c:v>
                </c:pt>
                <c:pt idx="20">
                  <c:v>86</c:v>
                </c:pt>
                <c:pt idx="21" formatCode="0.0">
                  <c:v>65.599999999999994</c:v>
                </c:pt>
                <c:pt idx="22">
                  <c:v>54.5</c:v>
                </c:pt>
                <c:pt idx="23" formatCode="0.0">
                  <c:v>71.3</c:v>
                </c:pt>
                <c:pt idx="24">
                  <c:v>69.400000000000006</c:v>
                </c:pt>
                <c:pt idx="25">
                  <c:v>79.599999999999994</c:v>
                </c:pt>
                <c:pt idx="26" formatCode="0.0">
                  <c:v>71</c:v>
                </c:pt>
                <c:pt idx="27" formatCode="0.0">
                  <c:v>60.4</c:v>
                </c:pt>
                <c:pt idx="28" formatCode="0.0">
                  <c:v>65.8</c:v>
                </c:pt>
                <c:pt idx="29">
                  <c:v>71.900000000000006</c:v>
                </c:pt>
                <c:pt idx="30" formatCode="0.0">
                  <c:v>72.599999999999994</c:v>
                </c:pt>
                <c:pt idx="31">
                  <c:v>79</c:v>
                </c:pt>
                <c:pt idx="32">
                  <c:v>73.2</c:v>
                </c:pt>
                <c:pt idx="33" formatCode="0.0">
                  <c:v>83.6</c:v>
                </c:pt>
                <c:pt idx="34" formatCode="0.0">
                  <c:v>66.8</c:v>
                </c:pt>
                <c:pt idx="35">
                  <c:v>79.099999999999994</c:v>
                </c:pt>
                <c:pt idx="36" formatCode="0.0">
                  <c:v>60</c:v>
                </c:pt>
                <c:pt idx="37">
                  <c:v>82</c:v>
                </c:pt>
                <c:pt idx="38">
                  <c:v>67.2</c:v>
                </c:pt>
                <c:pt idx="39" formatCode="0.0">
                  <c:v>60.9</c:v>
                </c:pt>
                <c:pt idx="40" formatCode="0.0">
                  <c:v>69.5</c:v>
                </c:pt>
                <c:pt idx="41">
                  <c:v>69.7</c:v>
                </c:pt>
                <c:pt idx="42">
                  <c:v>69.2</c:v>
                </c:pt>
                <c:pt idx="43" formatCode="0.0">
                  <c:v>78.7</c:v>
                </c:pt>
                <c:pt idx="44" formatCode="0.0">
                  <c:v>76.400000000000006</c:v>
                </c:pt>
                <c:pt idx="45" formatCode="0.0">
                  <c:v>62.2</c:v>
                </c:pt>
                <c:pt idx="46" formatCode="0.0">
                  <c:v>74.7</c:v>
                </c:pt>
                <c:pt idx="47">
                  <c:v>66.2</c:v>
                </c:pt>
                <c:pt idx="48" formatCode="0.0">
                  <c:v>74.599999999999994</c:v>
                </c:pt>
                <c:pt idx="49" formatCode="0.0">
                  <c:v>60.9</c:v>
                </c:pt>
                <c:pt idx="50">
                  <c:v>69.7</c:v>
                </c:pt>
                <c:pt idx="51" formatCode="0.0">
                  <c:v>81.599999999999994</c:v>
                </c:pt>
                <c:pt idx="52">
                  <c:v>64.8</c:v>
                </c:pt>
                <c:pt idx="53" formatCode="0.0">
                  <c:v>68.099999999999994</c:v>
                </c:pt>
                <c:pt idx="54" formatCode="0.0">
                  <c:v>59.8</c:v>
                </c:pt>
                <c:pt idx="55" formatCode="0.0">
                  <c:v>85.6</c:v>
                </c:pt>
                <c:pt idx="56" formatCode="0.0">
                  <c:v>76</c:v>
                </c:pt>
                <c:pt idx="57" formatCode="0.0">
                  <c:v>74.8</c:v>
                </c:pt>
                <c:pt idx="58" formatCode="0.0">
                  <c:v>75.599999999999994</c:v>
                </c:pt>
                <c:pt idx="59" formatCode="0.0">
                  <c:v>55.2</c:v>
                </c:pt>
                <c:pt idx="60" formatCode="0.0">
                  <c:v>76.7</c:v>
                </c:pt>
                <c:pt idx="61" formatCode="0.0">
                  <c:v>79.2</c:v>
                </c:pt>
                <c:pt idx="62" formatCode="0.0">
                  <c:v>72.2</c:v>
                </c:pt>
                <c:pt idx="63">
                  <c:v>65.900000000000006</c:v>
                </c:pt>
                <c:pt idx="64">
                  <c:v>73</c:v>
                </c:pt>
                <c:pt idx="65" formatCode="0.0">
                  <c:v>60.1</c:v>
                </c:pt>
                <c:pt idx="66" formatCode="0.0">
                  <c:v>56.4</c:v>
                </c:pt>
                <c:pt idx="67" formatCode="0.0">
                  <c:v>68.5</c:v>
                </c:pt>
                <c:pt idx="68">
                  <c:v>61</c:v>
                </c:pt>
                <c:pt idx="69">
                  <c:v>70.400000000000006</c:v>
                </c:pt>
                <c:pt idx="70" formatCode="0.0">
                  <c:v>72.599999999999994</c:v>
                </c:pt>
                <c:pt idx="71" formatCode="0.0">
                  <c:v>84.1</c:v>
                </c:pt>
                <c:pt idx="72">
                  <c:v>72.400000000000006</c:v>
                </c:pt>
                <c:pt idx="73" formatCode="0.0">
                  <c:v>72.7</c:v>
                </c:pt>
                <c:pt idx="74" formatCode="0.0">
                  <c:v>74.8</c:v>
                </c:pt>
                <c:pt idx="75">
                  <c:v>68.599999999999994</c:v>
                </c:pt>
                <c:pt idx="76" formatCode="0.0">
                  <c:v>72.400000000000006</c:v>
                </c:pt>
                <c:pt idx="77" formatCode="0.0">
                  <c:v>68.7</c:v>
                </c:pt>
                <c:pt idx="78">
                  <c:v>70</c:v>
                </c:pt>
                <c:pt idx="79">
                  <c:v>80.5</c:v>
                </c:pt>
              </c:numCache>
            </c:numRef>
          </c:xVal>
          <c:yVal>
            <c:numRef>
              <c:f>Sheet11!$C$25:$C$104</c:f>
              <c:numCache>
                <c:formatCode>General</c:formatCode>
                <c:ptCount val="80"/>
                <c:pt idx="0">
                  <c:v>-3.8021920030264934E+17</c:v>
                </c:pt>
                <c:pt idx="1">
                  <c:v>-1.2131410187335629E+17</c:v>
                </c:pt>
                <c:pt idx="2">
                  <c:v>1.7588704649754234E+17</c:v>
                </c:pt>
                <c:pt idx="3">
                  <c:v>2.0264933359026707E+17</c:v>
                </c:pt>
                <c:pt idx="4">
                  <c:v>-8.1356241839794112E+17</c:v>
                </c:pt>
                <c:pt idx="5">
                  <c:v>1.6528506628032886E+17</c:v>
                </c:pt>
                <c:pt idx="6">
                  <c:v>-5.810973540716576E+16</c:v>
                </c:pt>
                <c:pt idx="7">
                  <c:v>1.0907591790942987E+17</c:v>
                </c:pt>
                <c:pt idx="8">
                  <c:v>-8.4423869559927258E+17</c:v>
                </c:pt>
                <c:pt idx="9">
                  <c:v>-1.046194779886208E+17</c:v>
                </c:pt>
                <c:pt idx="10">
                  <c:v>-7.2694676058806144E+16</c:v>
                </c:pt>
                <c:pt idx="11">
                  <c:v>-4.2857514119660966E+17</c:v>
                </c:pt>
                <c:pt idx="12">
                  <c:v>-1.1906739885747466E+17</c:v>
                </c:pt>
                <c:pt idx="13">
                  <c:v>9245214893547888</c:v>
                </c:pt>
                <c:pt idx="14">
                  <c:v>2.2580671362470418E+18</c:v>
                </c:pt>
                <c:pt idx="15">
                  <c:v>-4.5765701260849722E+17</c:v>
                </c:pt>
                <c:pt idx="16">
                  <c:v>1.536548088617839E+17</c:v>
                </c:pt>
                <c:pt idx="17">
                  <c:v>-8.0332814780631904E+16</c:v>
                </c:pt>
                <c:pt idx="18">
                  <c:v>2.1133232450523679E+18</c:v>
                </c:pt>
                <c:pt idx="19">
                  <c:v>-1.0438915133032298E+17</c:v>
                </c:pt>
                <c:pt idx="20">
                  <c:v>-3.4328913106289638E+17</c:v>
                </c:pt>
                <c:pt idx="21">
                  <c:v>-2.2859562660183981E+17</c:v>
                </c:pt>
                <c:pt idx="22">
                  <c:v>3.3459089788432333E+17</c:v>
                </c:pt>
                <c:pt idx="23">
                  <c:v>-4.9875251755419386E+17</c:v>
                </c:pt>
                <c:pt idx="24">
                  <c:v>-3.2548622057007584E+17</c:v>
                </c:pt>
                <c:pt idx="25">
                  <c:v>7.7369502719939584E+17</c:v>
                </c:pt>
                <c:pt idx="26">
                  <c:v>2.531337398643511E+17</c:v>
                </c:pt>
                <c:pt idx="27">
                  <c:v>4.589550198627264E+16</c:v>
                </c:pt>
                <c:pt idx="28">
                  <c:v>-6.4836131547536448E+16</c:v>
                </c:pt>
                <c:pt idx="29">
                  <c:v>-3.6605503239128378E+17</c:v>
                </c:pt>
                <c:pt idx="30">
                  <c:v>-3.8109429970122202E+17</c:v>
                </c:pt>
                <c:pt idx="31">
                  <c:v>-5.8115845796351424E+17</c:v>
                </c:pt>
                <c:pt idx="32">
                  <c:v>-2.4572081453831181E+17</c:v>
                </c:pt>
                <c:pt idx="33">
                  <c:v>-5.5041507171453683E+17</c:v>
                </c:pt>
                <c:pt idx="34">
                  <c:v>-1.5651765627601958E+17</c:v>
                </c:pt>
                <c:pt idx="35">
                  <c:v>-7.447932104363625E+17</c:v>
                </c:pt>
                <c:pt idx="36">
                  <c:v>8.4561511877665904E+16</c:v>
                </c:pt>
                <c:pt idx="37">
                  <c:v>-1.0193640321489637E+18</c:v>
                </c:pt>
                <c:pt idx="38">
                  <c:v>-3.0401266616741286E+17</c:v>
                </c:pt>
                <c:pt idx="39">
                  <c:v>6.8021739622031056E+16</c:v>
                </c:pt>
                <c:pt idx="40">
                  <c:v>-2.6976097304292416E+17</c:v>
                </c:pt>
                <c:pt idx="41">
                  <c:v>-3.449964779886208E+17</c:v>
                </c:pt>
                <c:pt idx="42">
                  <c:v>-4.099877156243792E+17</c:v>
                </c:pt>
                <c:pt idx="43">
                  <c:v>-7.1709720054496922E+17</c:v>
                </c:pt>
                <c:pt idx="44">
                  <c:v>7.4456210633054195E+17</c:v>
                </c:pt>
                <c:pt idx="45">
                  <c:v>-2.5408042524997064E+16</c:v>
                </c:pt>
                <c:pt idx="46">
                  <c:v>-5.3789910163103667E+17</c:v>
                </c:pt>
                <c:pt idx="47">
                  <c:v>5.7227685856107027E+17</c:v>
                </c:pt>
                <c:pt idx="48">
                  <c:v>-6.5119834915818829E+17</c:v>
                </c:pt>
                <c:pt idx="49">
                  <c:v>3.3284673962203104E+17</c:v>
                </c:pt>
                <c:pt idx="50">
                  <c:v>-2.444964779886208E+17</c:v>
                </c:pt>
                <c:pt idx="51">
                  <c:v>-1.9254002225757043E+17</c:v>
                </c:pt>
                <c:pt idx="52">
                  <c:v>1.6998139318094672E+17</c:v>
                </c:pt>
                <c:pt idx="53">
                  <c:v>-1.9260043842304774E+17</c:v>
                </c:pt>
                <c:pt idx="54">
                  <c:v>2.4410601682336253E+17</c:v>
                </c:pt>
                <c:pt idx="55">
                  <c:v>2.2391848788284969E+18</c:v>
                </c:pt>
                <c:pt idx="56">
                  <c:v>-3.8711388377806477E+17</c:v>
                </c:pt>
                <c:pt idx="57">
                  <c:v>-5.0817285410388493E+17</c:v>
                </c:pt>
                <c:pt idx="58">
                  <c:v>2.6220931261133286E+18</c:v>
                </c:pt>
                <c:pt idx="59">
                  <c:v>3.4252963057438509E+17</c:v>
                </c:pt>
                <c:pt idx="60">
                  <c:v>-7.4754715108800294E+17</c:v>
                </c:pt>
                <c:pt idx="61">
                  <c:v>-3.3589096290921088E+17</c:v>
                </c:pt>
                <c:pt idx="62">
                  <c:v>-2.5474028980982867E+17</c:v>
                </c:pt>
                <c:pt idx="63">
                  <c:v>-1.0734488402038477E+17</c:v>
                </c:pt>
                <c:pt idx="64">
                  <c:v>-4.301023095926153E+17</c:v>
                </c:pt>
                <c:pt idx="65">
                  <c:v>6.8631759404817584E+16</c:v>
                </c:pt>
                <c:pt idx="66">
                  <c:v>2.4763260090020528E+17</c:v>
                </c:pt>
                <c:pt idx="67">
                  <c:v>-2.7940744831444102E+17</c:v>
                </c:pt>
                <c:pt idx="68">
                  <c:v>7931987149182736</c:v>
                </c:pt>
                <c:pt idx="69">
                  <c:v>-2.6176474529855898E+17</c:v>
                </c:pt>
                <c:pt idx="70">
                  <c:v>8.1082070029877798E+17</c:v>
                </c:pt>
                <c:pt idx="71">
                  <c:v>-2.3772883407877837E+17</c:v>
                </c:pt>
                <c:pt idx="72">
                  <c:v>-4.6597979475552531E+17</c:v>
                </c:pt>
                <c:pt idx="73">
                  <c:v>1.4307309478259297E+18</c:v>
                </c:pt>
                <c:pt idx="74">
                  <c:v>1.7863781458961152E+18</c:v>
                </c:pt>
                <c:pt idx="75">
                  <c:v>-9.486920078728928E+16</c:v>
                </c:pt>
                <c:pt idx="76">
                  <c:v>-2.9424279475552531E+17</c:v>
                </c:pt>
                <c:pt idx="77">
                  <c:v>-2.757939532601376E+17</c:v>
                </c:pt>
                <c:pt idx="78">
                  <c:v>2.2891926459283424E+17</c:v>
                </c:pt>
                <c:pt idx="79">
                  <c:v>-9.3415774505623898E+17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3F-FD4F-8FD2-A89233CE3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171984"/>
        <c:axId val="1994707952"/>
      </c:scatterChart>
      <c:valAx>
        <c:axId val="1542171984"/>
        <c:scaling>
          <c:orientation val="minMax"/>
          <c:min val="500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Overhead ($000)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4707952"/>
        <c:crosses val="autoZero"/>
        <c:crossBetween val="midCat"/>
      </c:valAx>
      <c:valAx>
        <c:axId val="1994707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217198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Overhead ($000)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'overhead sales'!$G$2:$G$81</c:f>
              <c:numCache>
                <c:formatCode>General</c:formatCode>
                <c:ptCount val="80"/>
                <c:pt idx="0">
                  <c:v>88.8</c:v>
                </c:pt>
                <c:pt idx="1">
                  <c:v>64.599999999999994</c:v>
                </c:pt>
                <c:pt idx="2">
                  <c:v>58.6</c:v>
                </c:pt>
                <c:pt idx="3" formatCode="0.0">
                  <c:v>57.1</c:v>
                </c:pt>
                <c:pt idx="4">
                  <c:v>77.400000000000006</c:v>
                </c:pt>
                <c:pt idx="5" formatCode="0.0">
                  <c:v>57.8</c:v>
                </c:pt>
                <c:pt idx="6">
                  <c:v>70</c:v>
                </c:pt>
                <c:pt idx="7" formatCode="0.0">
                  <c:v>63.8</c:v>
                </c:pt>
                <c:pt idx="8">
                  <c:v>78.5</c:v>
                </c:pt>
                <c:pt idx="9" formatCode="0.0">
                  <c:v>69.7</c:v>
                </c:pt>
                <c:pt idx="10">
                  <c:v>67.599999999999994</c:v>
                </c:pt>
                <c:pt idx="11">
                  <c:v>76.3</c:v>
                </c:pt>
                <c:pt idx="12">
                  <c:v>66.5</c:v>
                </c:pt>
                <c:pt idx="13" formatCode="0.0">
                  <c:v>61.9</c:v>
                </c:pt>
                <c:pt idx="14">
                  <c:v>85.3</c:v>
                </c:pt>
                <c:pt idx="15">
                  <c:v>71.099999999999994</c:v>
                </c:pt>
                <c:pt idx="16" formatCode="0.0">
                  <c:v>58.1</c:v>
                </c:pt>
                <c:pt idx="17">
                  <c:v>63.1</c:v>
                </c:pt>
                <c:pt idx="18" formatCode="0.0">
                  <c:v>80.900000000000006</c:v>
                </c:pt>
                <c:pt idx="19" formatCode="0.0">
                  <c:v>66.599999999999994</c:v>
                </c:pt>
                <c:pt idx="20">
                  <c:v>86</c:v>
                </c:pt>
                <c:pt idx="21" formatCode="0.0">
                  <c:v>65.599999999999994</c:v>
                </c:pt>
                <c:pt idx="22">
                  <c:v>54.5</c:v>
                </c:pt>
                <c:pt idx="23" formatCode="0.0">
                  <c:v>71.3</c:v>
                </c:pt>
                <c:pt idx="24">
                  <c:v>69.400000000000006</c:v>
                </c:pt>
                <c:pt idx="25">
                  <c:v>79.599999999999994</c:v>
                </c:pt>
                <c:pt idx="26" formatCode="0.0">
                  <c:v>71</c:v>
                </c:pt>
                <c:pt idx="27" formatCode="0.0">
                  <c:v>60.4</c:v>
                </c:pt>
                <c:pt idx="28" formatCode="0.0">
                  <c:v>65.8</c:v>
                </c:pt>
                <c:pt idx="29">
                  <c:v>71.900000000000006</c:v>
                </c:pt>
                <c:pt idx="30" formatCode="0.0">
                  <c:v>72.599999999999994</c:v>
                </c:pt>
                <c:pt idx="31">
                  <c:v>79</c:v>
                </c:pt>
                <c:pt idx="32">
                  <c:v>73.2</c:v>
                </c:pt>
                <c:pt idx="33" formatCode="0.0">
                  <c:v>83.6</c:v>
                </c:pt>
                <c:pt idx="34" formatCode="0.0">
                  <c:v>66.8</c:v>
                </c:pt>
                <c:pt idx="35">
                  <c:v>79.099999999999994</c:v>
                </c:pt>
                <c:pt idx="36" formatCode="0.0">
                  <c:v>60</c:v>
                </c:pt>
                <c:pt idx="37">
                  <c:v>82</c:v>
                </c:pt>
                <c:pt idx="38">
                  <c:v>67.2</c:v>
                </c:pt>
                <c:pt idx="39" formatCode="0.0">
                  <c:v>60.9</c:v>
                </c:pt>
                <c:pt idx="40" formatCode="0.0">
                  <c:v>69.5</c:v>
                </c:pt>
                <c:pt idx="41">
                  <c:v>69.7</c:v>
                </c:pt>
                <c:pt idx="42">
                  <c:v>69.2</c:v>
                </c:pt>
                <c:pt idx="43" formatCode="0.0">
                  <c:v>78.7</c:v>
                </c:pt>
                <c:pt idx="44" formatCode="0.0">
                  <c:v>76.400000000000006</c:v>
                </c:pt>
                <c:pt idx="45" formatCode="0.0">
                  <c:v>62.2</c:v>
                </c:pt>
                <c:pt idx="46" formatCode="0.0">
                  <c:v>74.7</c:v>
                </c:pt>
                <c:pt idx="47">
                  <c:v>66.2</c:v>
                </c:pt>
                <c:pt idx="48" formatCode="0.0">
                  <c:v>74.599999999999994</c:v>
                </c:pt>
                <c:pt idx="49" formatCode="0.0">
                  <c:v>60.9</c:v>
                </c:pt>
                <c:pt idx="50">
                  <c:v>69.7</c:v>
                </c:pt>
                <c:pt idx="51" formatCode="0.0">
                  <c:v>81.599999999999994</c:v>
                </c:pt>
                <c:pt idx="52">
                  <c:v>64.8</c:v>
                </c:pt>
                <c:pt idx="53" formatCode="0.0">
                  <c:v>68.099999999999994</c:v>
                </c:pt>
                <c:pt idx="54" formatCode="0.0">
                  <c:v>59.8</c:v>
                </c:pt>
                <c:pt idx="55" formatCode="0.0">
                  <c:v>85.6</c:v>
                </c:pt>
                <c:pt idx="56" formatCode="0.0">
                  <c:v>76</c:v>
                </c:pt>
                <c:pt idx="57" formatCode="0.0">
                  <c:v>74.8</c:v>
                </c:pt>
                <c:pt idx="58" formatCode="0.0">
                  <c:v>75.599999999999994</c:v>
                </c:pt>
                <c:pt idx="59" formatCode="0.0">
                  <c:v>55.2</c:v>
                </c:pt>
                <c:pt idx="60" formatCode="0.0">
                  <c:v>76.7</c:v>
                </c:pt>
                <c:pt idx="61" formatCode="0.0">
                  <c:v>79.2</c:v>
                </c:pt>
                <c:pt idx="62" formatCode="0.0">
                  <c:v>72.2</c:v>
                </c:pt>
                <c:pt idx="63">
                  <c:v>65.900000000000006</c:v>
                </c:pt>
                <c:pt idx="64">
                  <c:v>73</c:v>
                </c:pt>
                <c:pt idx="65" formatCode="0.0">
                  <c:v>60.1</c:v>
                </c:pt>
                <c:pt idx="66" formatCode="0.0">
                  <c:v>56.4</c:v>
                </c:pt>
                <c:pt idx="67" formatCode="0.0">
                  <c:v>68.5</c:v>
                </c:pt>
                <c:pt idx="68">
                  <c:v>61</c:v>
                </c:pt>
                <c:pt idx="69">
                  <c:v>70.400000000000006</c:v>
                </c:pt>
                <c:pt idx="70" formatCode="0.0">
                  <c:v>72.599999999999994</c:v>
                </c:pt>
                <c:pt idx="71" formatCode="0.0">
                  <c:v>84.1</c:v>
                </c:pt>
                <c:pt idx="72">
                  <c:v>72.400000000000006</c:v>
                </c:pt>
                <c:pt idx="73" formatCode="0.0">
                  <c:v>72.7</c:v>
                </c:pt>
                <c:pt idx="74" formatCode="0.0">
                  <c:v>74.8</c:v>
                </c:pt>
                <c:pt idx="75">
                  <c:v>68.599999999999994</c:v>
                </c:pt>
                <c:pt idx="76" formatCode="0.0">
                  <c:v>72.400000000000006</c:v>
                </c:pt>
                <c:pt idx="77" formatCode="0.0">
                  <c:v>68.7</c:v>
                </c:pt>
                <c:pt idx="78">
                  <c:v>70</c:v>
                </c:pt>
                <c:pt idx="79">
                  <c:v>80.5</c:v>
                </c:pt>
              </c:numCache>
            </c:numRef>
          </c:xVal>
          <c:yVal>
            <c:numRef>
              <c:f>'3a'!$C$26:$C$105</c:f>
              <c:numCache>
                <c:formatCode>General</c:formatCode>
                <c:ptCount val="80"/>
                <c:pt idx="0">
                  <c:v>-256083493.5997355</c:v>
                </c:pt>
                <c:pt idx="1">
                  <c:v>-80423353.004021347</c:v>
                </c:pt>
                <c:pt idx="2">
                  <c:v>38896973.75943169</c:v>
                </c:pt>
                <c:pt idx="3">
                  <c:v>-90599591.63362205</c:v>
                </c:pt>
                <c:pt idx="4">
                  <c:v>-619901770.47928607</c:v>
                </c:pt>
                <c:pt idx="5">
                  <c:v>-116652934.6842421</c:v>
                </c:pt>
                <c:pt idx="6">
                  <c:v>149768940.06567532</c:v>
                </c:pt>
                <c:pt idx="7">
                  <c:v>193425477.39724755</c:v>
                </c:pt>
                <c:pt idx="8">
                  <c:v>-587205563.32889748</c:v>
                </c:pt>
                <c:pt idx="9">
                  <c:v>108118681.12077183</c:v>
                </c:pt>
                <c:pt idx="10">
                  <c:v>102732530.61285037</c:v>
                </c:pt>
                <c:pt idx="11">
                  <c:v>-112958909.71350443</c:v>
                </c:pt>
                <c:pt idx="12">
                  <c:v>21550723.72269839</c:v>
                </c:pt>
                <c:pt idx="13">
                  <c:v>-28318501.470005035</c:v>
                </c:pt>
                <c:pt idx="14">
                  <c:v>775706001.7233777</c:v>
                </c:pt>
                <c:pt idx="15">
                  <c:v>-285379491.49272072</c:v>
                </c:pt>
                <c:pt idx="16">
                  <c:v>-98987363.723412216</c:v>
                </c:pt>
                <c:pt idx="17">
                  <c:v>-128797283.06280774</c:v>
                </c:pt>
                <c:pt idx="18">
                  <c:v>877407719.41898954</c:v>
                </c:pt>
                <c:pt idx="19">
                  <c:v>42805306.666589439</c:v>
                </c:pt>
                <c:pt idx="20">
                  <c:v>-166549654.82706928</c:v>
                </c:pt>
                <c:pt idx="21">
                  <c:v>-288246654.53903431</c:v>
                </c:pt>
                <c:pt idx="22">
                  <c:v>-46655154.573987469</c:v>
                </c:pt>
                <c:pt idx="23">
                  <c:v>-373916331.25614625</c:v>
                </c:pt>
                <c:pt idx="24">
                  <c:v>-146632804.17747486</c:v>
                </c:pt>
                <c:pt idx="25">
                  <c:v>476129711.73766184</c:v>
                </c:pt>
                <c:pt idx="26">
                  <c:v>358872057.33010185</c:v>
                </c:pt>
                <c:pt idx="27">
                  <c:v>-104247617.42921183</c:v>
                </c:pt>
                <c:pt idx="28">
                  <c:v>63453716.682839513</c:v>
                </c:pt>
                <c:pt idx="29">
                  <c:v>-111796787.48866999</c:v>
                </c:pt>
                <c:pt idx="30">
                  <c:v>-112502408.54629099</c:v>
                </c:pt>
                <c:pt idx="31">
                  <c:v>-234793545.89155662</c:v>
                </c:pt>
                <c:pt idx="32">
                  <c:v>22739840.158882141</c:v>
                </c:pt>
                <c:pt idx="33">
                  <c:v>-241396153.52035248</c:v>
                </c:pt>
                <c:pt idx="34">
                  <c:v>-15719269.563409328</c:v>
                </c:pt>
                <c:pt idx="35">
                  <c:v>-399944884.52186966</c:v>
                </c:pt>
                <c:pt idx="36">
                  <c:v>-37122781.843558282</c:v>
                </c:pt>
                <c:pt idx="37">
                  <c:v>-733226311.8791697</c:v>
                </c:pt>
                <c:pt idx="38">
                  <c:v>-298903390.49453044</c:v>
                </c:pt>
                <c:pt idx="39">
                  <c:v>10343272.205364525</c:v>
                </c:pt>
                <c:pt idx="40">
                  <c:v>-64704395.038798869</c:v>
                </c:pt>
                <c:pt idx="41">
                  <c:v>-162881318.87922817</c:v>
                </c:pt>
                <c:pt idx="42">
                  <c:v>-387523364.57260728</c:v>
                </c:pt>
                <c:pt idx="43">
                  <c:v>-374407014.23618031</c:v>
                </c:pt>
                <c:pt idx="44">
                  <c:v>530193430.71621108</c:v>
                </c:pt>
                <c:pt idx="45">
                  <c:v>-81036357.338191688</c:v>
                </c:pt>
                <c:pt idx="46">
                  <c:v>-246925999.26168227</c:v>
                </c:pt>
                <c:pt idx="47">
                  <c:v>544719490.65546346</c:v>
                </c:pt>
                <c:pt idx="48">
                  <c:v>-446269545.02548897</c:v>
                </c:pt>
                <c:pt idx="49">
                  <c:v>331343272.20536453</c:v>
                </c:pt>
                <c:pt idx="50">
                  <c:v>-28881318.879228175</c:v>
                </c:pt>
                <c:pt idx="51">
                  <c:v>1616253.6273808479</c:v>
                </c:pt>
                <c:pt idx="52">
                  <c:v>269501965.66972506</c:v>
                </c:pt>
                <c:pt idx="53">
                  <c:v>-14725633.88628006</c:v>
                </c:pt>
                <c:pt idx="54">
                  <c:v>209872151.7137067</c:v>
                </c:pt>
                <c:pt idx="55">
                  <c:v>760092490.29446197</c:v>
                </c:pt>
                <c:pt idx="56">
                  <c:v>-79483415.238211751</c:v>
                </c:pt>
                <c:pt idx="57">
                  <c:v>-208593700.87046862</c:v>
                </c:pt>
                <c:pt idx="58">
                  <c:v>1159659780.8458674</c:v>
                </c:pt>
                <c:pt idx="59">
                  <c:v>84338524.187433511</c:v>
                </c:pt>
                <c:pt idx="60">
                  <c:v>-501417032.23020518</c:v>
                </c:pt>
                <c:pt idx="61">
                  <c:v>-52107470.524775863</c:v>
                </c:pt>
                <c:pt idx="62">
                  <c:v>6111144.865054369</c:v>
                </c:pt>
                <c:pt idx="63">
                  <c:v>13787031.234885991</c:v>
                </c:pt>
                <c:pt idx="64">
                  <c:v>-159295919.91913438</c:v>
                </c:pt>
                <c:pt idx="65">
                  <c:v>-71137119.681081235</c:v>
                </c:pt>
                <c:pt idx="66">
                  <c:v>-32097369.840090156</c:v>
                </c:pt>
                <c:pt idx="67">
                  <c:v>-118494618.19226992</c:v>
                </c:pt>
                <c:pt idx="68">
                  <c:v>-151772291.98550108</c:v>
                </c:pt>
                <c:pt idx="69">
                  <c:v>-30854844.557430506</c:v>
                </c:pt>
                <c:pt idx="70">
                  <c:v>616497591.45370901</c:v>
                </c:pt>
                <c:pt idx="71">
                  <c:v>-69852216.094387412</c:v>
                </c:pt>
                <c:pt idx="72">
                  <c:v>-226673137.09543097</c:v>
                </c:pt>
                <c:pt idx="73">
                  <c:v>853066084.66938841</c:v>
                </c:pt>
                <c:pt idx="74">
                  <c:v>932406299.12953138</c:v>
                </c:pt>
                <c:pt idx="75">
                  <c:v>100535017.29974824</c:v>
                </c:pt>
                <c:pt idx="76">
                  <c:v>-27673137.09543097</c:v>
                </c:pt>
                <c:pt idx="77">
                  <c:v>-103446594.5808267</c:v>
                </c:pt>
                <c:pt idx="78">
                  <c:v>346768940.06567532</c:v>
                </c:pt>
                <c:pt idx="79">
                  <c:v>-645244599.46857965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DF-5F43-B3B8-775032358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353072"/>
        <c:axId val="1299814976"/>
      </c:scatterChart>
      <c:valAx>
        <c:axId val="1299353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Overhead ($000)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99814976"/>
        <c:crosses val="autoZero"/>
        <c:crossBetween val="midCat"/>
      </c:valAx>
      <c:valAx>
        <c:axId val="1299814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9935307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overhead quadratic 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'3a'!$H$2:$H$81</c:f>
              <c:strCache>
                <c:ptCount val="18"/>
                <c:pt idx="14">
                  <c:v>Lower 90.0%</c:v>
                </c:pt>
                <c:pt idx="15">
                  <c:v>-3463453768</c:v>
                </c:pt>
                <c:pt idx="16">
                  <c:v>-175429.601</c:v>
                </c:pt>
                <c:pt idx="17">
                  <c:v>-0.339649003</c:v>
                </c:pt>
              </c:strCache>
            </c:strRef>
          </c:xVal>
          <c:yVal>
            <c:numRef>
              <c:f>'3a'!$C$26:$C$105</c:f>
              <c:numCache>
                <c:formatCode>General</c:formatCode>
                <c:ptCount val="80"/>
                <c:pt idx="0">
                  <c:v>-256083493.5997355</c:v>
                </c:pt>
                <c:pt idx="1">
                  <c:v>-80423353.004021347</c:v>
                </c:pt>
                <c:pt idx="2">
                  <c:v>38896973.75943169</c:v>
                </c:pt>
                <c:pt idx="3">
                  <c:v>-90599591.63362205</c:v>
                </c:pt>
                <c:pt idx="4">
                  <c:v>-619901770.47928607</c:v>
                </c:pt>
                <c:pt idx="5">
                  <c:v>-116652934.6842421</c:v>
                </c:pt>
                <c:pt idx="6">
                  <c:v>149768940.06567532</c:v>
                </c:pt>
                <c:pt idx="7">
                  <c:v>193425477.39724755</c:v>
                </c:pt>
                <c:pt idx="8">
                  <c:v>-587205563.32889748</c:v>
                </c:pt>
                <c:pt idx="9">
                  <c:v>108118681.12077183</c:v>
                </c:pt>
                <c:pt idx="10">
                  <c:v>102732530.61285037</c:v>
                </c:pt>
                <c:pt idx="11">
                  <c:v>-112958909.71350443</c:v>
                </c:pt>
                <c:pt idx="12">
                  <c:v>21550723.72269839</c:v>
                </c:pt>
                <c:pt idx="13">
                  <c:v>-28318501.470005035</c:v>
                </c:pt>
                <c:pt idx="14">
                  <c:v>775706001.7233777</c:v>
                </c:pt>
                <c:pt idx="15">
                  <c:v>-285379491.49272072</c:v>
                </c:pt>
                <c:pt idx="16">
                  <c:v>-98987363.723412216</c:v>
                </c:pt>
                <c:pt idx="17">
                  <c:v>-128797283.06280774</c:v>
                </c:pt>
                <c:pt idx="18">
                  <c:v>877407719.41898954</c:v>
                </c:pt>
                <c:pt idx="19">
                  <c:v>42805306.666589439</c:v>
                </c:pt>
                <c:pt idx="20">
                  <c:v>-166549654.82706928</c:v>
                </c:pt>
                <c:pt idx="21">
                  <c:v>-288246654.53903431</c:v>
                </c:pt>
                <c:pt idx="22">
                  <c:v>-46655154.573987469</c:v>
                </c:pt>
                <c:pt idx="23">
                  <c:v>-373916331.25614625</c:v>
                </c:pt>
                <c:pt idx="24">
                  <c:v>-146632804.17747486</c:v>
                </c:pt>
                <c:pt idx="25">
                  <c:v>476129711.73766184</c:v>
                </c:pt>
                <c:pt idx="26">
                  <c:v>358872057.33010185</c:v>
                </c:pt>
                <c:pt idx="27">
                  <c:v>-104247617.42921183</c:v>
                </c:pt>
                <c:pt idx="28">
                  <c:v>63453716.682839513</c:v>
                </c:pt>
                <c:pt idx="29">
                  <c:v>-111796787.48866999</c:v>
                </c:pt>
                <c:pt idx="30">
                  <c:v>-112502408.54629099</c:v>
                </c:pt>
                <c:pt idx="31">
                  <c:v>-234793545.89155662</c:v>
                </c:pt>
                <c:pt idx="32">
                  <c:v>22739840.158882141</c:v>
                </c:pt>
                <c:pt idx="33">
                  <c:v>-241396153.52035248</c:v>
                </c:pt>
                <c:pt idx="34">
                  <c:v>-15719269.563409328</c:v>
                </c:pt>
                <c:pt idx="35">
                  <c:v>-399944884.52186966</c:v>
                </c:pt>
                <c:pt idx="36">
                  <c:v>-37122781.843558282</c:v>
                </c:pt>
                <c:pt idx="37">
                  <c:v>-733226311.8791697</c:v>
                </c:pt>
                <c:pt idx="38">
                  <c:v>-298903390.49453044</c:v>
                </c:pt>
                <c:pt idx="39">
                  <c:v>10343272.205364525</c:v>
                </c:pt>
                <c:pt idx="40">
                  <c:v>-64704395.038798869</c:v>
                </c:pt>
                <c:pt idx="41">
                  <c:v>-162881318.87922817</c:v>
                </c:pt>
                <c:pt idx="42">
                  <c:v>-387523364.57260728</c:v>
                </c:pt>
                <c:pt idx="43">
                  <c:v>-374407014.23618031</c:v>
                </c:pt>
                <c:pt idx="44">
                  <c:v>530193430.71621108</c:v>
                </c:pt>
                <c:pt idx="45">
                  <c:v>-81036357.338191688</c:v>
                </c:pt>
                <c:pt idx="46">
                  <c:v>-246925999.26168227</c:v>
                </c:pt>
                <c:pt idx="47">
                  <c:v>544719490.65546346</c:v>
                </c:pt>
                <c:pt idx="48">
                  <c:v>-446269545.02548897</c:v>
                </c:pt>
                <c:pt idx="49">
                  <c:v>331343272.20536453</c:v>
                </c:pt>
                <c:pt idx="50">
                  <c:v>-28881318.879228175</c:v>
                </c:pt>
                <c:pt idx="51">
                  <c:v>1616253.6273808479</c:v>
                </c:pt>
                <c:pt idx="52">
                  <c:v>269501965.66972506</c:v>
                </c:pt>
                <c:pt idx="53">
                  <c:v>-14725633.88628006</c:v>
                </c:pt>
                <c:pt idx="54">
                  <c:v>209872151.7137067</c:v>
                </c:pt>
                <c:pt idx="55">
                  <c:v>760092490.29446197</c:v>
                </c:pt>
                <c:pt idx="56">
                  <c:v>-79483415.238211751</c:v>
                </c:pt>
                <c:pt idx="57">
                  <c:v>-208593700.87046862</c:v>
                </c:pt>
                <c:pt idx="58">
                  <c:v>1159659780.8458674</c:v>
                </c:pt>
                <c:pt idx="59">
                  <c:v>84338524.187433511</c:v>
                </c:pt>
                <c:pt idx="60">
                  <c:v>-501417032.23020518</c:v>
                </c:pt>
                <c:pt idx="61">
                  <c:v>-52107470.524775863</c:v>
                </c:pt>
                <c:pt idx="62">
                  <c:v>6111144.865054369</c:v>
                </c:pt>
                <c:pt idx="63">
                  <c:v>13787031.234885991</c:v>
                </c:pt>
                <c:pt idx="64">
                  <c:v>-159295919.91913438</c:v>
                </c:pt>
                <c:pt idx="65">
                  <c:v>-71137119.681081235</c:v>
                </c:pt>
                <c:pt idx="66">
                  <c:v>-32097369.840090156</c:v>
                </c:pt>
                <c:pt idx="67">
                  <c:v>-118494618.19226992</c:v>
                </c:pt>
                <c:pt idx="68">
                  <c:v>-151772291.98550108</c:v>
                </c:pt>
                <c:pt idx="69">
                  <c:v>-30854844.557430506</c:v>
                </c:pt>
                <c:pt idx="70">
                  <c:v>616497591.45370901</c:v>
                </c:pt>
                <c:pt idx="71">
                  <c:v>-69852216.094387412</c:v>
                </c:pt>
                <c:pt idx="72">
                  <c:v>-226673137.09543097</c:v>
                </c:pt>
                <c:pt idx="73">
                  <c:v>853066084.66938841</c:v>
                </c:pt>
                <c:pt idx="74">
                  <c:v>932406299.12953138</c:v>
                </c:pt>
                <c:pt idx="75">
                  <c:v>100535017.29974824</c:v>
                </c:pt>
                <c:pt idx="76">
                  <c:v>-27673137.09543097</c:v>
                </c:pt>
                <c:pt idx="77">
                  <c:v>-103446594.5808267</c:v>
                </c:pt>
                <c:pt idx="78">
                  <c:v>346768940.06567532</c:v>
                </c:pt>
                <c:pt idx="79">
                  <c:v>-645244599.46857965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15-264D-B2A0-4D1F6329E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778400"/>
        <c:axId val="2060519488"/>
      </c:scatterChart>
      <c:valAx>
        <c:axId val="211177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overhead quadratic </a:t>
                </a:r>
              </a:p>
            </c:rich>
          </c:tx>
          <c:overlay val="0"/>
        </c:title>
        <c:majorTickMark val="out"/>
        <c:minorTickMark val="none"/>
        <c:tickLblPos val="nextTo"/>
        <c:crossAx val="2060519488"/>
        <c:crosses val="autoZero"/>
        <c:crossBetween val="midCat"/>
      </c:valAx>
      <c:valAx>
        <c:axId val="2060519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1177840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overhead quadratic 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'overhead sales'!$H$2:$H$81</c:f>
              <c:numCache>
                <c:formatCode>"$"#,##0</c:formatCode>
                <c:ptCount val="80"/>
                <c:pt idx="0">
                  <c:v>7885.44</c:v>
                </c:pt>
                <c:pt idx="1">
                  <c:v>4173.1599999999989</c:v>
                </c:pt>
                <c:pt idx="2">
                  <c:v>3433.96</c:v>
                </c:pt>
                <c:pt idx="3">
                  <c:v>3260.4100000000003</c:v>
                </c:pt>
                <c:pt idx="4">
                  <c:v>5990.7600000000011</c:v>
                </c:pt>
                <c:pt idx="5">
                  <c:v>3340.8399999999997</c:v>
                </c:pt>
                <c:pt idx="6">
                  <c:v>4900</c:v>
                </c:pt>
                <c:pt idx="7">
                  <c:v>4070.4399999999996</c:v>
                </c:pt>
                <c:pt idx="8">
                  <c:v>6162.25</c:v>
                </c:pt>
                <c:pt idx="9">
                  <c:v>4858.09</c:v>
                </c:pt>
                <c:pt idx="10">
                  <c:v>4569.7599999999993</c:v>
                </c:pt>
                <c:pt idx="11">
                  <c:v>5821.69</c:v>
                </c:pt>
                <c:pt idx="12">
                  <c:v>4422.25</c:v>
                </c:pt>
                <c:pt idx="13">
                  <c:v>3831.6099999999997</c:v>
                </c:pt>
                <c:pt idx="14">
                  <c:v>7276.0899999999992</c:v>
                </c:pt>
                <c:pt idx="15">
                  <c:v>5055.2099999999991</c:v>
                </c:pt>
                <c:pt idx="16">
                  <c:v>3375.61</c:v>
                </c:pt>
                <c:pt idx="17">
                  <c:v>3981.61</c:v>
                </c:pt>
                <c:pt idx="18">
                  <c:v>6544.8100000000013</c:v>
                </c:pt>
                <c:pt idx="19">
                  <c:v>4435.5599999999995</c:v>
                </c:pt>
                <c:pt idx="20">
                  <c:v>7396</c:v>
                </c:pt>
                <c:pt idx="21">
                  <c:v>4303.3599999999997</c:v>
                </c:pt>
                <c:pt idx="22">
                  <c:v>2970.25</c:v>
                </c:pt>
                <c:pt idx="23">
                  <c:v>5083.6899999999996</c:v>
                </c:pt>
                <c:pt idx="24">
                  <c:v>4816.3600000000006</c:v>
                </c:pt>
                <c:pt idx="25">
                  <c:v>6336.1599999999989</c:v>
                </c:pt>
                <c:pt idx="26">
                  <c:v>5041</c:v>
                </c:pt>
                <c:pt idx="27">
                  <c:v>3648.16</c:v>
                </c:pt>
                <c:pt idx="28">
                  <c:v>4329.6399999999994</c:v>
                </c:pt>
                <c:pt idx="29">
                  <c:v>5169.6100000000006</c:v>
                </c:pt>
                <c:pt idx="30">
                  <c:v>5270.7599999999993</c:v>
                </c:pt>
                <c:pt idx="31">
                  <c:v>6241</c:v>
                </c:pt>
                <c:pt idx="32">
                  <c:v>5358.2400000000007</c:v>
                </c:pt>
                <c:pt idx="33">
                  <c:v>6988.9599999999991</c:v>
                </c:pt>
                <c:pt idx="34">
                  <c:v>4462.24</c:v>
                </c:pt>
                <c:pt idx="35">
                  <c:v>6256.8099999999995</c:v>
                </c:pt>
                <c:pt idx="36">
                  <c:v>3600</c:v>
                </c:pt>
                <c:pt idx="37">
                  <c:v>6724</c:v>
                </c:pt>
                <c:pt idx="38">
                  <c:v>4515.84</c:v>
                </c:pt>
                <c:pt idx="39">
                  <c:v>3708.81</c:v>
                </c:pt>
                <c:pt idx="40">
                  <c:v>4830.25</c:v>
                </c:pt>
                <c:pt idx="41">
                  <c:v>4858.09</c:v>
                </c:pt>
                <c:pt idx="42">
                  <c:v>4788.6400000000003</c:v>
                </c:pt>
                <c:pt idx="43">
                  <c:v>6193.6900000000005</c:v>
                </c:pt>
                <c:pt idx="44">
                  <c:v>5836.9600000000009</c:v>
                </c:pt>
                <c:pt idx="45">
                  <c:v>3868.84</c:v>
                </c:pt>
                <c:pt idx="46">
                  <c:v>5580.09</c:v>
                </c:pt>
                <c:pt idx="47">
                  <c:v>4382.4400000000005</c:v>
                </c:pt>
                <c:pt idx="48">
                  <c:v>5565.1599999999989</c:v>
                </c:pt>
                <c:pt idx="49">
                  <c:v>3708.81</c:v>
                </c:pt>
                <c:pt idx="50">
                  <c:v>4858.09</c:v>
                </c:pt>
                <c:pt idx="51">
                  <c:v>6658.5599999999995</c:v>
                </c:pt>
                <c:pt idx="52">
                  <c:v>4199.04</c:v>
                </c:pt>
                <c:pt idx="53">
                  <c:v>4637.6099999999997</c:v>
                </c:pt>
                <c:pt idx="54">
                  <c:v>3576.0399999999995</c:v>
                </c:pt>
                <c:pt idx="55">
                  <c:v>7327.3599999999988</c:v>
                </c:pt>
                <c:pt idx="56">
                  <c:v>5776</c:v>
                </c:pt>
                <c:pt idx="57">
                  <c:v>5595.04</c:v>
                </c:pt>
                <c:pt idx="58">
                  <c:v>5715.3599999999988</c:v>
                </c:pt>
                <c:pt idx="59">
                  <c:v>3047.0400000000004</c:v>
                </c:pt>
                <c:pt idx="60">
                  <c:v>5882.89</c:v>
                </c:pt>
                <c:pt idx="61">
                  <c:v>6272.64</c:v>
                </c:pt>
                <c:pt idx="62">
                  <c:v>5212.84</c:v>
                </c:pt>
                <c:pt idx="63">
                  <c:v>4342.8100000000004</c:v>
                </c:pt>
                <c:pt idx="64">
                  <c:v>5329</c:v>
                </c:pt>
                <c:pt idx="65">
                  <c:v>3612.01</c:v>
                </c:pt>
                <c:pt idx="66">
                  <c:v>3180.96</c:v>
                </c:pt>
                <c:pt idx="67">
                  <c:v>4692.25</c:v>
                </c:pt>
                <c:pt idx="68">
                  <c:v>3721</c:v>
                </c:pt>
                <c:pt idx="69">
                  <c:v>4956.1600000000008</c:v>
                </c:pt>
                <c:pt idx="70">
                  <c:v>5270.7599999999993</c:v>
                </c:pt>
                <c:pt idx="71">
                  <c:v>7072.8099999999995</c:v>
                </c:pt>
                <c:pt idx="72">
                  <c:v>5241.7600000000011</c:v>
                </c:pt>
                <c:pt idx="73">
                  <c:v>5285.29</c:v>
                </c:pt>
                <c:pt idx="74">
                  <c:v>5595.04</c:v>
                </c:pt>
                <c:pt idx="75">
                  <c:v>4705.9599999999991</c:v>
                </c:pt>
                <c:pt idx="76">
                  <c:v>5241.7600000000011</c:v>
                </c:pt>
                <c:pt idx="77">
                  <c:v>4719.6900000000005</c:v>
                </c:pt>
                <c:pt idx="78">
                  <c:v>4900</c:v>
                </c:pt>
                <c:pt idx="79">
                  <c:v>6480.25</c:v>
                </c:pt>
              </c:numCache>
            </c:numRef>
          </c:xVal>
          <c:yVal>
            <c:numRef>
              <c:f>Sheet13!$C$25:$C$104</c:f>
              <c:numCache>
                <c:formatCode>General</c:formatCode>
                <c:ptCount val="80"/>
                <c:pt idx="0">
                  <c:v>-173478607.29097533</c:v>
                </c:pt>
                <c:pt idx="1">
                  <c:v>-87692814.783716559</c:v>
                </c:pt>
                <c:pt idx="2">
                  <c:v>69718128.846980691</c:v>
                </c:pt>
                <c:pt idx="3">
                  <c:v>-46507426.798166037</c:v>
                </c:pt>
                <c:pt idx="4">
                  <c:v>-628253057.13105953</c:v>
                </c:pt>
                <c:pt idx="5">
                  <c:v>-78940492.539801598</c:v>
                </c:pt>
                <c:pt idx="6">
                  <c:v>128728924.5716185</c:v>
                </c:pt>
                <c:pt idx="7">
                  <c:v>189848705.95457494</c:v>
                </c:pt>
                <c:pt idx="8">
                  <c:v>-590555387.65490735</c:v>
                </c:pt>
                <c:pt idx="9">
                  <c:v>87333920.036394656</c:v>
                </c:pt>
                <c:pt idx="10">
                  <c:v>85413813.674163878</c:v>
                </c:pt>
                <c:pt idx="11">
                  <c:v>-125505345.76790738</c:v>
                </c:pt>
                <c:pt idx="12">
                  <c:v>7220372.5147539377</c:v>
                </c:pt>
                <c:pt idx="13">
                  <c:v>-21415883.240068614</c:v>
                </c:pt>
                <c:pt idx="14">
                  <c:v>821173122.28338265</c:v>
                </c:pt>
                <c:pt idx="15">
                  <c:v>-306842331.59845799</c:v>
                </c:pt>
                <c:pt idx="16">
                  <c:v>-63909132.299053967</c:v>
                </c:pt>
                <c:pt idx="17">
                  <c:v>-128793103.94434977</c:v>
                </c:pt>
                <c:pt idx="18">
                  <c:v>887768948.66089404</c:v>
                </c:pt>
                <c:pt idx="19">
                  <c:v>28169967.130927384</c:v>
                </c:pt>
                <c:pt idx="20">
                  <c:v>-114308027.94761968</c:v>
                </c:pt>
                <c:pt idx="21">
                  <c:v>-299532242.3550328</c:v>
                </c:pt>
                <c:pt idx="22">
                  <c:v>23991868.932195403</c:v>
                </c:pt>
                <c:pt idx="23">
                  <c:v>-395369419.90284419</c:v>
                </c:pt>
                <c:pt idx="24">
                  <c:v>-167102337.16367429</c:v>
                </c:pt>
                <c:pt idx="25">
                  <c:v>478587662.66054916</c:v>
                </c:pt>
                <c:pt idx="26">
                  <c:v>337414337.10959423</c:v>
                </c:pt>
                <c:pt idx="27">
                  <c:v>-87372542.318732798</c:v>
                </c:pt>
                <c:pt idx="28">
                  <c:v>51444868.577577114</c:v>
                </c:pt>
                <c:pt idx="29">
                  <c:v>-133060691.92225647</c:v>
                </c:pt>
                <c:pt idx="30">
                  <c:v>-133242397.75050998</c:v>
                </c:pt>
                <c:pt idx="31">
                  <c:v>-235603428.52465487</c:v>
                </c:pt>
                <c:pt idx="32">
                  <c:v>2708807.1347532272</c:v>
                </c:pt>
                <c:pt idx="33">
                  <c:v>-211022001.84448242</c:v>
                </c:pt>
                <c:pt idx="34">
                  <c:v>-30944594.525007427</c:v>
                </c:pt>
                <c:pt idx="35">
                  <c:v>-400226787.58688617</c:v>
                </c:pt>
                <c:pt idx="36">
                  <c:v>-17335162.657944918</c:v>
                </c:pt>
                <c:pt idx="37">
                  <c:v>-715298079.19244015</c:v>
                </c:pt>
                <c:pt idx="38">
                  <c:v>-315228721.39000386</c:v>
                </c:pt>
                <c:pt idx="39">
                  <c:v>23727601.443169534</c:v>
                </c:pt>
                <c:pt idx="40">
                  <c:v>-85285667.800890744</c:v>
                </c:pt>
                <c:pt idx="41">
                  <c:v>-183666079.96360534</c:v>
                </c:pt>
                <c:pt idx="42">
                  <c:v>-407749426.77752316</c:v>
                </c:pt>
                <c:pt idx="43">
                  <c:v>-376760853.1145246</c:v>
                </c:pt>
                <c:pt idx="44">
                  <c:v>517995053.16439676</c:v>
                </c:pt>
                <c:pt idx="45">
                  <c:v>-75948309.418871194</c:v>
                </c:pt>
                <c:pt idx="46">
                  <c:v>-264135102.28687859</c:v>
                </c:pt>
                <c:pt idx="47">
                  <c:v>531344086.88967013</c:v>
                </c:pt>
                <c:pt idx="48">
                  <c:v>-463713422.91944575</c:v>
                </c:pt>
                <c:pt idx="49">
                  <c:v>344727601.44316953</c:v>
                </c:pt>
                <c:pt idx="50">
                  <c:v>-49666079.963605344</c:v>
                </c:pt>
                <c:pt idx="51">
                  <c:v>16699556.293480873</c:v>
                </c:pt>
                <c:pt idx="52">
                  <c:v>261375968.7374379</c:v>
                </c:pt>
                <c:pt idx="53">
                  <c:v>-33136149.157739282</c:v>
                </c:pt>
                <c:pt idx="54">
                  <c:v>231156025.39588559</c:v>
                </c:pt>
                <c:pt idx="55">
                  <c:v>808422988.2466594</c:v>
                </c:pt>
                <c:pt idx="56">
                  <c:v>-93034044.341383338</c:v>
                </c:pt>
                <c:pt idx="57">
                  <c:v>-225561365.28373861</c:v>
                </c:pt>
                <c:pt idx="58">
                  <c:v>1144863520.0820007</c:v>
                </c:pt>
                <c:pt idx="59">
                  <c:v>147393023.74631709</c:v>
                </c:pt>
                <c:pt idx="60">
                  <c:v>-512531251.81525409</c:v>
                </c:pt>
                <c:pt idx="61">
                  <c:v>-51854730.278544545</c:v>
                </c:pt>
                <c:pt idx="62">
                  <c:v>-14968206.929230213</c:v>
                </c:pt>
                <c:pt idx="63">
                  <c:v>1426548.5997412205</c:v>
                </c:pt>
                <c:pt idx="64">
                  <c:v>-179589926.64262557</c:v>
                </c:pt>
                <c:pt idx="65">
                  <c:v>-52087632.129001051</c:v>
                </c:pt>
                <c:pt idx="66">
                  <c:v>18701041.101534873</c:v>
                </c:pt>
                <c:pt idx="67">
                  <c:v>-137658624.7529521</c:v>
                </c:pt>
                <c:pt idx="68">
                  <c:v>-139066120.69273171</c:v>
                </c:pt>
                <c:pt idx="69">
                  <c:v>-52141906.860064328</c:v>
                </c:pt>
                <c:pt idx="70">
                  <c:v>595757602.24949002</c:v>
                </c:pt>
                <c:pt idx="71">
                  <c:v>-35238868.21817553</c:v>
                </c:pt>
                <c:pt idx="72">
                  <c:v>-247596135.08101559</c:v>
                </c:pt>
                <c:pt idx="73">
                  <c:v>832427595.47060192</c:v>
                </c:pt>
                <c:pt idx="74">
                  <c:v>915438634.71626139</c:v>
                </c:pt>
                <c:pt idx="75">
                  <c:v>81199297.274676621</c:v>
                </c:pt>
                <c:pt idx="76">
                  <c:v>-48596135.081015587</c:v>
                </c:pt>
                <c:pt idx="77">
                  <c:v>-122947364.32712191</c:v>
                </c:pt>
                <c:pt idx="78">
                  <c:v>325728924.5716185</c:v>
                </c:pt>
                <c:pt idx="79">
                  <c:v>-637435095.54798329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CF-D842-BFA8-9AB5811C0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213552"/>
        <c:axId val="1028909520"/>
      </c:scatterChart>
      <c:valAx>
        <c:axId val="1029213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overhead quadratic </a:t>
                </a:r>
              </a:p>
            </c:rich>
          </c:tx>
          <c:overlay val="0"/>
        </c:title>
        <c:numFmt formatCode="&quot;$&quot;#,##0" sourceLinked="1"/>
        <c:majorTickMark val="out"/>
        <c:minorTickMark val="none"/>
        <c:tickLblPos val="nextTo"/>
        <c:crossAx val="1028909520"/>
        <c:crosses val="autoZero"/>
        <c:crossBetween val="midCat"/>
      </c:valAx>
      <c:valAx>
        <c:axId val="10289095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921355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Overhead ($000)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'overhead sales'!$E$2:$E$81</c:f>
              <c:numCache>
                <c:formatCode>"$"#,##0.00000000000000000000</c:formatCode>
                <c:ptCount val="80"/>
                <c:pt idx="0">
                  <c:v>4.4863866499981242</c:v>
                </c:pt>
                <c:pt idx="1">
                  <c:v>4.1682144107885559</c:v>
                </c:pt>
                <c:pt idx="2">
                  <c:v>4.0707346965829672</c:v>
                </c:pt>
                <c:pt idx="3">
                  <c:v>4.0448041166619646</c:v>
                </c:pt>
                <c:pt idx="4">
                  <c:v>4.3489867805956814</c:v>
                </c:pt>
                <c:pt idx="5">
                  <c:v>4.0569887756783318</c:v>
                </c:pt>
                <c:pt idx="6">
                  <c:v>4.2484952420493594</c:v>
                </c:pt>
                <c:pt idx="7">
                  <c:v>4.1557531903507439</c:v>
                </c:pt>
                <c:pt idx="8">
                  <c:v>4.3630986247883632</c:v>
                </c:pt>
                <c:pt idx="9">
                  <c:v>4.2442003177664782</c:v>
                </c:pt>
                <c:pt idx="10">
                  <c:v>4.2136079830489184</c:v>
                </c:pt>
                <c:pt idx="11">
                  <c:v>4.334672938290411</c:v>
                </c:pt>
                <c:pt idx="12">
                  <c:v>4.1972019476618083</c:v>
                </c:pt>
                <c:pt idx="13">
                  <c:v>4.1255201796905503</c:v>
                </c:pt>
                <c:pt idx="14">
                  <c:v>4.4461744544976334</c:v>
                </c:pt>
                <c:pt idx="15">
                  <c:v>4.2640873368091947</c:v>
                </c:pt>
                <c:pt idx="16">
                  <c:v>4.0621656638578658</c:v>
                </c:pt>
                <c:pt idx="17">
                  <c:v>4.1447207695471677</c:v>
                </c:pt>
                <c:pt idx="18">
                  <c:v>4.3932138240644463</c:v>
                </c:pt>
                <c:pt idx="19">
                  <c:v>4.1987045775463434</c:v>
                </c:pt>
                <c:pt idx="20">
                  <c:v>4.4543472962535073</c:v>
                </c:pt>
                <c:pt idx="21">
                  <c:v>4.1835756959500436</c:v>
                </c:pt>
                <c:pt idx="22">
                  <c:v>3.9982007016691985</c:v>
                </c:pt>
                <c:pt idx="23">
                  <c:v>4.26689632742025</c:v>
                </c:pt>
                <c:pt idx="24">
                  <c:v>4.2398868675127588</c:v>
                </c:pt>
                <c:pt idx="25">
                  <c:v>4.3770140928503372</c:v>
                </c:pt>
                <c:pt idx="26">
                  <c:v>4.2626798770413155</c:v>
                </c:pt>
                <c:pt idx="27">
                  <c:v>4.1009891049407692</c:v>
                </c:pt>
                <c:pt idx="28">
                  <c:v>4.1866198383312714</c:v>
                </c:pt>
                <c:pt idx="29">
                  <c:v>4.2752762647270011</c:v>
                </c:pt>
                <c:pt idx="30">
                  <c:v>4.28496492183075</c:v>
                </c:pt>
                <c:pt idx="31">
                  <c:v>4.3694478524670215</c:v>
                </c:pt>
                <c:pt idx="32">
                  <c:v>4.2931954209672663</c:v>
                </c:pt>
                <c:pt idx="33">
                  <c:v>4.4260435200906558</c:v>
                </c:pt>
                <c:pt idx="34">
                  <c:v>4.2017030805426003</c:v>
                </c:pt>
                <c:pt idx="35">
                  <c:v>4.3707128747736084</c:v>
                </c:pt>
                <c:pt idx="36">
                  <c:v>4.0943445622221004</c:v>
                </c:pt>
                <c:pt idx="37">
                  <c:v>4.4067192472642533</c:v>
                </c:pt>
                <c:pt idx="38">
                  <c:v>4.2076732475291037</c:v>
                </c:pt>
                <c:pt idx="39">
                  <c:v>4.1092331747158513</c:v>
                </c:pt>
                <c:pt idx="40">
                  <c:v>4.2413267525707461</c:v>
                </c:pt>
                <c:pt idx="41">
                  <c:v>4.2442003177664782</c:v>
                </c:pt>
                <c:pt idx="42">
                  <c:v>4.2370008626236242</c:v>
                </c:pt>
                <c:pt idx="43">
                  <c:v>4.3656431554233572</c:v>
                </c:pt>
                <c:pt idx="44">
                  <c:v>4.3359826961724748</c:v>
                </c:pt>
                <c:pt idx="45">
                  <c:v>4.1303549997451334</c:v>
                </c:pt>
                <c:pt idx="46">
                  <c:v>4.3134800921387715</c:v>
                </c:pt>
                <c:pt idx="47">
                  <c:v>4.1926804629429624</c:v>
                </c:pt>
                <c:pt idx="48">
                  <c:v>4.3121405072097154</c:v>
                </c:pt>
                <c:pt idx="49">
                  <c:v>4.1092331747158513</c:v>
                </c:pt>
                <c:pt idx="50">
                  <c:v>4.2442003177664782</c:v>
                </c:pt>
                <c:pt idx="51">
                  <c:v>4.401829261970061</c:v>
                </c:pt>
                <c:pt idx="52">
                  <c:v>4.1713056033582285</c:v>
                </c:pt>
                <c:pt idx="53">
                  <c:v>4.220977213155467</c:v>
                </c:pt>
                <c:pt idx="54">
                  <c:v>4.0910056609565864</c:v>
                </c:pt>
                <c:pt idx="55">
                  <c:v>4.4496852831476961</c:v>
                </c:pt>
                <c:pt idx="56">
                  <c:v>4.3307333402863311</c:v>
                </c:pt>
                <c:pt idx="57">
                  <c:v>4.3148178849804317</c:v>
                </c:pt>
                <c:pt idx="58">
                  <c:v>4.3254562831854875</c:v>
                </c:pt>
                <c:pt idx="59">
                  <c:v>4.01096295328305</c:v>
                </c:pt>
                <c:pt idx="60">
                  <c:v>4.3399017083732101</c:v>
                </c:pt>
                <c:pt idx="61">
                  <c:v>4.3719762988203801</c:v>
                </c:pt>
                <c:pt idx="62">
                  <c:v>4.2794400458987809</c:v>
                </c:pt>
                <c:pt idx="63">
                  <c:v>4.1881384415084613</c:v>
                </c:pt>
                <c:pt idx="64">
                  <c:v>4.290459441148391</c:v>
                </c:pt>
                <c:pt idx="65">
                  <c:v>4.0960098415411617</c:v>
                </c:pt>
                <c:pt idx="66">
                  <c:v>4.0324691585040133</c:v>
                </c:pt>
                <c:pt idx="67">
                  <c:v>4.2268337452681797</c:v>
                </c:pt>
                <c:pt idx="68">
                  <c:v>4.1108738641733114</c:v>
                </c:pt>
                <c:pt idx="69">
                  <c:v>4.2541932631639972</c:v>
                </c:pt>
                <c:pt idx="70">
                  <c:v>4.28496492183075</c:v>
                </c:pt>
                <c:pt idx="71">
                  <c:v>4.4320065669789024</c:v>
                </c:pt>
                <c:pt idx="72">
                  <c:v>4.282206299391671</c:v>
                </c:pt>
                <c:pt idx="73">
                  <c:v>4.2863413845394733</c:v>
                </c:pt>
                <c:pt idx="74">
                  <c:v>4.3148178849804317</c:v>
                </c:pt>
                <c:pt idx="75">
                  <c:v>4.2282925347318399</c:v>
                </c:pt>
                <c:pt idx="76">
                  <c:v>4.282206299391671</c:v>
                </c:pt>
                <c:pt idx="77">
                  <c:v>4.2297491992283041</c:v>
                </c:pt>
                <c:pt idx="78">
                  <c:v>4.2484952420493594</c:v>
                </c:pt>
                <c:pt idx="79">
                  <c:v>4.3882571844245177</c:v>
                </c:pt>
              </c:numCache>
            </c:numRef>
          </c:xVal>
          <c:yVal>
            <c:numRef>
              <c:f>'ln overhead fixed'!$C$25:$C$104</c:f>
              <c:numCache>
                <c:formatCode>General</c:formatCode>
                <c:ptCount val="80"/>
                <c:pt idx="0">
                  <c:v>-48339895.256385565</c:v>
                </c:pt>
                <c:pt idx="1">
                  <c:v>-104872109.89741486</c:v>
                </c:pt>
                <c:pt idx="2">
                  <c:v>100184027.40804878</c:v>
                </c:pt>
                <c:pt idx="3">
                  <c:v>1923133.0426110327</c:v>
                </c:pt>
                <c:pt idx="4">
                  <c:v>-631394343.79662001</c:v>
                </c:pt>
                <c:pt idx="5">
                  <c:v>-39208204.405703127</c:v>
                </c:pt>
                <c:pt idx="6">
                  <c:v>99368162.756744504</c:v>
                </c:pt>
                <c:pt idx="7">
                  <c:v>176875041.35744911</c:v>
                </c:pt>
                <c:pt idx="8">
                  <c:v>-585816906.07721448</c:v>
                </c:pt>
                <c:pt idx="9">
                  <c:v>57931585.079619825</c:v>
                </c:pt>
                <c:pt idx="10">
                  <c:v>58050927.232644558</c:v>
                </c:pt>
                <c:pt idx="11">
                  <c:v>-135521996.34360087</c:v>
                </c:pt>
                <c:pt idx="12">
                  <c:v>-17418080.666655481</c:v>
                </c:pt>
                <c:pt idx="13">
                  <c:v>-21805716.208412826</c:v>
                </c:pt>
                <c:pt idx="14">
                  <c:v>896199799.22302508</c:v>
                </c:pt>
                <c:pt idx="15">
                  <c:v>-335350443.96724784</c:v>
                </c:pt>
                <c:pt idx="16">
                  <c:v>-27735478.163827792</c:v>
                </c:pt>
                <c:pt idx="17">
                  <c:v>-137559287.06392437</c:v>
                </c:pt>
                <c:pt idx="18">
                  <c:v>913126179.75021291</c:v>
                </c:pt>
                <c:pt idx="19">
                  <c:v>3236043.3098545671</c:v>
                </c:pt>
                <c:pt idx="20">
                  <c:v>-29998504.668156266</c:v>
                </c:pt>
                <c:pt idx="21">
                  <c:v>-321076777.4877215</c:v>
                </c:pt>
                <c:pt idx="22">
                  <c:v>109694028.61827213</c:v>
                </c:pt>
                <c:pt idx="23">
                  <c:v>-423605167.39079928</c:v>
                </c:pt>
                <c:pt idx="24">
                  <c:v>-196463741.18736953</c:v>
                </c:pt>
                <c:pt idx="25">
                  <c:v>492197798.45956981</c:v>
                </c:pt>
                <c:pt idx="26">
                  <c:v>308783518.65377927</c:v>
                </c:pt>
                <c:pt idx="27">
                  <c:v>-75182860.85299769</c:v>
                </c:pt>
                <c:pt idx="28">
                  <c:v>29144891.327560365</c:v>
                </c:pt>
                <c:pt idx="29">
                  <c:v>-160264606.81866992</c:v>
                </c:pt>
                <c:pt idx="30">
                  <c:v>-158838146.54183519</c:v>
                </c:pt>
                <c:pt idx="31">
                  <c:v>-226954604.83878791</c:v>
                </c:pt>
                <c:pt idx="32">
                  <c:v>-21164834.973646045</c:v>
                </c:pt>
                <c:pt idx="33">
                  <c:v>-156975050.24860489</c:v>
                </c:pt>
                <c:pt idx="34">
                  <c:v>-56440663.565727174</c:v>
                </c:pt>
                <c:pt idx="35">
                  <c:v>-390771404.80286968</c:v>
                </c:pt>
                <c:pt idx="36">
                  <c:v>-1387589.9760904014</c:v>
                </c:pt>
                <c:pt idx="37">
                  <c:v>-678946076.98869586</c:v>
                </c:pt>
                <c:pt idx="38">
                  <c:v>-341734315.43698907</c:v>
                </c:pt>
                <c:pt idx="39">
                  <c:v>31460233.244690597</c:v>
                </c:pt>
                <c:pt idx="40">
                  <c:v>-114669904.55579537</c:v>
                </c:pt>
                <c:pt idx="41">
                  <c:v>-213068414.92038018</c:v>
                </c:pt>
                <c:pt idx="42">
                  <c:v>-437037531.60535246</c:v>
                </c:pt>
                <c:pt idx="43">
                  <c:v>-370482761.74153018</c:v>
                </c:pt>
                <c:pt idx="44">
                  <c:v>508561591.87777436</c:v>
                </c:pt>
                <c:pt idx="45">
                  <c:v>-78571313.688535929</c:v>
                </c:pt>
                <c:pt idx="46">
                  <c:v>-282332308.09233701</c:v>
                </c:pt>
                <c:pt idx="47">
                  <c:v>507649819.26469171</c:v>
                </c:pt>
                <c:pt idx="48">
                  <c:v>-482349481.02248859</c:v>
                </c:pt>
                <c:pt idx="49">
                  <c:v>352460233.2446906</c:v>
                </c:pt>
                <c:pt idx="50">
                  <c:v>-79068414.920380175</c:v>
                </c:pt>
                <c:pt idx="51">
                  <c:v>48942355.831281185</c:v>
                </c:pt>
                <c:pt idx="52">
                  <c:v>243244793.2007457</c:v>
                </c:pt>
                <c:pt idx="53">
                  <c:v>-61357990.611214757</c:v>
                </c:pt>
                <c:pt idx="54">
                  <c:v>249047074.94310001</c:v>
                </c:pt>
                <c:pt idx="55">
                  <c:v>887382307.0223732</c:v>
                </c:pt>
                <c:pt idx="56">
                  <c:v>-104749771.96573055</c:v>
                </c:pt>
                <c:pt idx="57">
                  <c:v>-243311144.75688922</c:v>
                </c:pt>
                <c:pt idx="58">
                  <c:v>1131000545.9335766</c:v>
                </c:pt>
                <c:pt idx="59">
                  <c:v>222276577.24186772</c:v>
                </c:pt>
                <c:pt idx="60">
                  <c:v>-520164794.5019635</c:v>
                </c:pt>
                <c:pt idx="61">
                  <c:v>-41584645.95366478</c:v>
                </c:pt>
                <c:pt idx="62">
                  <c:v>-41536015.389130592</c:v>
                </c:pt>
                <c:pt idx="63">
                  <c:v>-21236552.108410776</c:v>
                </c:pt>
                <c:pt idx="64">
                  <c:v>-204072683.22627735</c:v>
                </c:pt>
                <c:pt idx="65">
                  <c:v>-37095634.254593045</c:v>
                </c:pt>
                <c:pt idx="66">
                  <c:v>76389138.594725445</c:v>
                </c:pt>
                <c:pt idx="67">
                  <c:v>-166398613.97322208</c:v>
                </c:pt>
                <c:pt idx="68">
                  <c:v>-132193057.27894604</c:v>
                </c:pt>
                <c:pt idx="69">
                  <c:v>-81319507.324230552</c:v>
                </c:pt>
                <c:pt idx="70">
                  <c:v>570161853.45816481</c:v>
                </c:pt>
                <c:pt idx="71">
                  <c:v>24747152.061055064</c:v>
                </c:pt>
                <c:pt idx="72">
                  <c:v>-273695576.92321682</c:v>
                </c:pt>
                <c:pt idx="73">
                  <c:v>807096911.37113333</c:v>
                </c:pt>
                <c:pt idx="74">
                  <c:v>897688855.24311078</c:v>
                </c:pt>
                <c:pt idx="75">
                  <c:v>52353128.594920874</c:v>
                </c:pt>
                <c:pt idx="76">
                  <c:v>-74695576.92321682</c:v>
                </c:pt>
                <c:pt idx="77">
                  <c:v>-151890397.21482545</c:v>
                </c:pt>
                <c:pt idx="78">
                  <c:v>296368162.7567445</c:v>
                </c:pt>
                <c:pt idx="79">
                  <c:v>-615836969.5262717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0D-E744-9B41-D275B3F1F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262096"/>
        <c:axId val="1029392048"/>
      </c:scatterChart>
      <c:valAx>
        <c:axId val="1029262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Overhead ($000)</a:t>
                </a:r>
              </a:p>
            </c:rich>
          </c:tx>
          <c:overlay val="0"/>
        </c:title>
        <c:numFmt formatCode="&quot;$&quot;#,##0.00" sourceLinked="0"/>
        <c:majorTickMark val="out"/>
        <c:minorTickMark val="none"/>
        <c:tickLblPos val="nextTo"/>
        <c:crossAx val="1029392048"/>
        <c:crosses val="autoZero"/>
        <c:crossBetween val="midCat"/>
      </c:valAx>
      <c:valAx>
        <c:axId val="10293920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926209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</a:rPr>
              <a:t>Sales by Overhead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'overhead sales'!$D$1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'overhead sales'!$C$2:$C$81</c:f>
              <c:numCache>
                <c:formatCode>"$"#,##0.0</c:formatCode>
                <c:ptCount val="80"/>
                <c:pt idx="0">
                  <c:v>88.8</c:v>
                </c:pt>
                <c:pt idx="1">
                  <c:v>64.599999999999994</c:v>
                </c:pt>
                <c:pt idx="2">
                  <c:v>58.6</c:v>
                </c:pt>
                <c:pt idx="3">
                  <c:v>57.1</c:v>
                </c:pt>
                <c:pt idx="4">
                  <c:v>77.400000000000006</c:v>
                </c:pt>
                <c:pt idx="5">
                  <c:v>57.8</c:v>
                </c:pt>
                <c:pt idx="6">
                  <c:v>70</c:v>
                </c:pt>
                <c:pt idx="7">
                  <c:v>63.8</c:v>
                </c:pt>
                <c:pt idx="8">
                  <c:v>78.5</c:v>
                </c:pt>
                <c:pt idx="9">
                  <c:v>69.7</c:v>
                </c:pt>
                <c:pt idx="10">
                  <c:v>67.599999999999994</c:v>
                </c:pt>
                <c:pt idx="11">
                  <c:v>76.3</c:v>
                </c:pt>
                <c:pt idx="12">
                  <c:v>66.5</c:v>
                </c:pt>
                <c:pt idx="13">
                  <c:v>61.9</c:v>
                </c:pt>
                <c:pt idx="14">
                  <c:v>85.3</c:v>
                </c:pt>
                <c:pt idx="15">
                  <c:v>71.099999999999994</c:v>
                </c:pt>
                <c:pt idx="16">
                  <c:v>58.1</c:v>
                </c:pt>
                <c:pt idx="17">
                  <c:v>63.1</c:v>
                </c:pt>
                <c:pt idx="18">
                  <c:v>80.900000000000006</c:v>
                </c:pt>
                <c:pt idx="19">
                  <c:v>66.599999999999994</c:v>
                </c:pt>
                <c:pt idx="20">
                  <c:v>86</c:v>
                </c:pt>
                <c:pt idx="21">
                  <c:v>65.599999999999994</c:v>
                </c:pt>
                <c:pt idx="22">
                  <c:v>54.5</c:v>
                </c:pt>
                <c:pt idx="23">
                  <c:v>71.3</c:v>
                </c:pt>
                <c:pt idx="24">
                  <c:v>69.400000000000006</c:v>
                </c:pt>
                <c:pt idx="25">
                  <c:v>79.599999999999994</c:v>
                </c:pt>
                <c:pt idx="26">
                  <c:v>71</c:v>
                </c:pt>
                <c:pt idx="27">
                  <c:v>60.4</c:v>
                </c:pt>
                <c:pt idx="28">
                  <c:v>65.8</c:v>
                </c:pt>
                <c:pt idx="29">
                  <c:v>71.900000000000006</c:v>
                </c:pt>
                <c:pt idx="30">
                  <c:v>72.599999999999994</c:v>
                </c:pt>
                <c:pt idx="31">
                  <c:v>79</c:v>
                </c:pt>
                <c:pt idx="32">
                  <c:v>73.2</c:v>
                </c:pt>
                <c:pt idx="33">
                  <c:v>83.6</c:v>
                </c:pt>
                <c:pt idx="34">
                  <c:v>66.8</c:v>
                </c:pt>
                <c:pt idx="35">
                  <c:v>79.099999999999994</c:v>
                </c:pt>
                <c:pt idx="36">
                  <c:v>60</c:v>
                </c:pt>
                <c:pt idx="37">
                  <c:v>82</c:v>
                </c:pt>
                <c:pt idx="38">
                  <c:v>67.2</c:v>
                </c:pt>
                <c:pt idx="39">
                  <c:v>60.9</c:v>
                </c:pt>
                <c:pt idx="40">
                  <c:v>69.5</c:v>
                </c:pt>
                <c:pt idx="41">
                  <c:v>69.7</c:v>
                </c:pt>
                <c:pt idx="42">
                  <c:v>69.2</c:v>
                </c:pt>
                <c:pt idx="43">
                  <c:v>78.7</c:v>
                </c:pt>
                <c:pt idx="44">
                  <c:v>76.400000000000006</c:v>
                </c:pt>
                <c:pt idx="45">
                  <c:v>62.2</c:v>
                </c:pt>
                <c:pt idx="46">
                  <c:v>74.7</c:v>
                </c:pt>
                <c:pt idx="47">
                  <c:v>66.2</c:v>
                </c:pt>
                <c:pt idx="48">
                  <c:v>74.599999999999994</c:v>
                </c:pt>
                <c:pt idx="49">
                  <c:v>60.9</c:v>
                </c:pt>
                <c:pt idx="50">
                  <c:v>69.7</c:v>
                </c:pt>
                <c:pt idx="51">
                  <c:v>81.599999999999994</c:v>
                </c:pt>
                <c:pt idx="52">
                  <c:v>64.8</c:v>
                </c:pt>
                <c:pt idx="53">
                  <c:v>68.099999999999994</c:v>
                </c:pt>
                <c:pt idx="54">
                  <c:v>59.8</c:v>
                </c:pt>
                <c:pt idx="55">
                  <c:v>85.6</c:v>
                </c:pt>
                <c:pt idx="56">
                  <c:v>76</c:v>
                </c:pt>
                <c:pt idx="57">
                  <c:v>74.8</c:v>
                </c:pt>
                <c:pt idx="58">
                  <c:v>75.599999999999994</c:v>
                </c:pt>
                <c:pt idx="59">
                  <c:v>55.2</c:v>
                </c:pt>
                <c:pt idx="60">
                  <c:v>76.7</c:v>
                </c:pt>
                <c:pt idx="61">
                  <c:v>79.2</c:v>
                </c:pt>
                <c:pt idx="62">
                  <c:v>72.2</c:v>
                </c:pt>
                <c:pt idx="63">
                  <c:v>65.900000000000006</c:v>
                </c:pt>
                <c:pt idx="64">
                  <c:v>73</c:v>
                </c:pt>
                <c:pt idx="65">
                  <c:v>60.1</c:v>
                </c:pt>
                <c:pt idx="66">
                  <c:v>56.4</c:v>
                </c:pt>
                <c:pt idx="67">
                  <c:v>68.5</c:v>
                </c:pt>
                <c:pt idx="68">
                  <c:v>61</c:v>
                </c:pt>
                <c:pt idx="69">
                  <c:v>70.400000000000006</c:v>
                </c:pt>
                <c:pt idx="70">
                  <c:v>72.599999999999994</c:v>
                </c:pt>
                <c:pt idx="71">
                  <c:v>84.1</c:v>
                </c:pt>
                <c:pt idx="72">
                  <c:v>72.400000000000006</c:v>
                </c:pt>
                <c:pt idx="73">
                  <c:v>72.7</c:v>
                </c:pt>
                <c:pt idx="74">
                  <c:v>74.8</c:v>
                </c:pt>
                <c:pt idx="75">
                  <c:v>68.599999999999994</c:v>
                </c:pt>
                <c:pt idx="76">
                  <c:v>72.400000000000006</c:v>
                </c:pt>
                <c:pt idx="77">
                  <c:v>68.7</c:v>
                </c:pt>
                <c:pt idx="78">
                  <c:v>70</c:v>
                </c:pt>
                <c:pt idx="79">
                  <c:v>80.5</c:v>
                </c:pt>
              </c:numCache>
            </c:numRef>
          </c:xVal>
          <c:yVal>
            <c:numRef>
              <c:f>'overhead sales'!$D$2:$D$81</c:f>
              <c:numCache>
                <c:formatCode>"$"#,##0</c:formatCode>
                <c:ptCount val="80"/>
                <c:pt idx="0">
                  <c:v>1012000</c:v>
                </c:pt>
                <c:pt idx="1">
                  <c:v>247000</c:v>
                </c:pt>
                <c:pt idx="2">
                  <c:v>235000</c:v>
                </c:pt>
                <c:pt idx="3">
                  <c:v>79000</c:v>
                </c:pt>
                <c:pt idx="4">
                  <c:v>123000</c:v>
                </c:pt>
                <c:pt idx="5">
                  <c:v>65000</c:v>
                </c:pt>
                <c:pt idx="6">
                  <c:v>630000</c:v>
                </c:pt>
                <c:pt idx="7">
                  <c:v>501000</c:v>
                </c:pt>
                <c:pt idx="8">
                  <c:v>200000</c:v>
                </c:pt>
                <c:pt idx="9">
                  <c:v>579000</c:v>
                </c:pt>
                <c:pt idx="10">
                  <c:v>511000</c:v>
                </c:pt>
                <c:pt idx="11">
                  <c:v>587000</c:v>
                </c:pt>
                <c:pt idx="12">
                  <c:v>399000</c:v>
                </c:pt>
                <c:pt idx="13">
                  <c:v>235000</c:v>
                </c:pt>
                <c:pt idx="14">
                  <c:v>1867000</c:v>
                </c:pt>
                <c:pt idx="15">
                  <c:v>230000</c:v>
                </c:pt>
                <c:pt idx="16">
                  <c:v>88000</c:v>
                </c:pt>
                <c:pt idx="17">
                  <c:v>162000</c:v>
                </c:pt>
                <c:pt idx="18">
                  <c:v>1766000</c:v>
                </c:pt>
                <c:pt idx="19">
                  <c:v>423000</c:v>
                </c:pt>
                <c:pt idx="20">
                  <c:v>959000</c:v>
                </c:pt>
                <c:pt idx="21">
                  <c:v>65000</c:v>
                </c:pt>
                <c:pt idx="22">
                  <c:v>83000</c:v>
                </c:pt>
                <c:pt idx="23">
                  <c:v>148000</c:v>
                </c:pt>
                <c:pt idx="24">
                  <c:v>315000</c:v>
                </c:pt>
                <c:pt idx="25">
                  <c:v>1309000</c:v>
                </c:pt>
                <c:pt idx="26">
                  <c:v>871000</c:v>
                </c:pt>
                <c:pt idx="27">
                  <c:v>127000</c:v>
                </c:pt>
                <c:pt idx="28">
                  <c:v>422000</c:v>
                </c:pt>
                <c:pt idx="29">
                  <c:v>430000</c:v>
                </c:pt>
                <c:pt idx="30">
                  <c:v>453000</c:v>
                </c:pt>
                <c:pt idx="31">
                  <c:v>573000</c:v>
                </c:pt>
                <c:pt idx="32">
                  <c:v>609000</c:v>
                </c:pt>
                <c:pt idx="33">
                  <c:v>769000</c:v>
                </c:pt>
                <c:pt idx="34">
                  <c:v>370000</c:v>
                </c:pt>
                <c:pt idx="35">
                  <c:v>412000</c:v>
                </c:pt>
                <c:pt idx="36">
                  <c:v>186000</c:v>
                </c:pt>
                <c:pt idx="37">
                  <c:v>204000</c:v>
                </c:pt>
                <c:pt idx="38">
                  <c:v>98000</c:v>
                </c:pt>
                <c:pt idx="39">
                  <c:v>252000</c:v>
                </c:pt>
                <c:pt idx="40">
                  <c:v>400000</c:v>
                </c:pt>
                <c:pt idx="41">
                  <c:v>308000</c:v>
                </c:pt>
                <c:pt idx="42">
                  <c:v>68000</c:v>
                </c:pt>
                <c:pt idx="43">
                  <c:v>421000</c:v>
                </c:pt>
                <c:pt idx="44">
                  <c:v>1234000</c:v>
                </c:pt>
                <c:pt idx="45">
                  <c:v>189000</c:v>
                </c:pt>
                <c:pt idx="46">
                  <c:v>393000</c:v>
                </c:pt>
                <c:pt idx="47">
                  <c:v>914000</c:v>
                </c:pt>
                <c:pt idx="48">
                  <c:v>190000</c:v>
                </c:pt>
                <c:pt idx="49">
                  <c:v>573000</c:v>
                </c:pt>
                <c:pt idx="50">
                  <c:v>442000</c:v>
                </c:pt>
                <c:pt idx="51">
                  <c:v>921000</c:v>
                </c:pt>
                <c:pt idx="52">
                  <c:v>602000</c:v>
                </c:pt>
                <c:pt idx="53">
                  <c:v>408000</c:v>
                </c:pt>
                <c:pt idx="54">
                  <c:v>429000</c:v>
                </c:pt>
                <c:pt idx="55">
                  <c:v>1866000</c:v>
                </c:pt>
                <c:pt idx="56">
                  <c:v>609000</c:v>
                </c:pt>
                <c:pt idx="57">
                  <c:v>435000</c:v>
                </c:pt>
                <c:pt idx="58">
                  <c:v>1833000</c:v>
                </c:pt>
                <c:pt idx="59">
                  <c:v>224000</c:v>
                </c:pt>
                <c:pt idx="60">
                  <c:v>214000</c:v>
                </c:pt>
                <c:pt idx="61">
                  <c:v>764000</c:v>
                </c:pt>
                <c:pt idx="62">
                  <c:v>558000</c:v>
                </c:pt>
                <c:pt idx="63">
                  <c:v>375000</c:v>
                </c:pt>
                <c:pt idx="64">
                  <c:v>420000</c:v>
                </c:pt>
                <c:pt idx="65">
                  <c:v>154000</c:v>
                </c:pt>
                <c:pt idx="66">
                  <c:v>126000</c:v>
                </c:pt>
                <c:pt idx="67">
                  <c:v>316000</c:v>
                </c:pt>
                <c:pt idx="68">
                  <c:v>92000</c:v>
                </c:pt>
                <c:pt idx="69">
                  <c:v>462000</c:v>
                </c:pt>
                <c:pt idx="70">
                  <c:v>1182000</c:v>
                </c:pt>
                <c:pt idx="71">
                  <c:v>964000</c:v>
                </c:pt>
                <c:pt idx="72">
                  <c:v>332000</c:v>
                </c:pt>
                <c:pt idx="73">
                  <c:v>1422000</c:v>
                </c:pt>
                <c:pt idx="74">
                  <c:v>1576000</c:v>
                </c:pt>
                <c:pt idx="75">
                  <c:v>538000</c:v>
                </c:pt>
                <c:pt idx="76">
                  <c:v>531000</c:v>
                </c:pt>
                <c:pt idx="77">
                  <c:v>337000</c:v>
                </c:pt>
                <c:pt idx="78">
                  <c:v>827000</c:v>
                </c:pt>
                <c:pt idx="79">
                  <c:v>226000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48-B142-A4AA-AFE51C87B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91615"/>
        <c:axId val="1917393327"/>
      </c:scatterChart>
      <c:valAx>
        <c:axId val="1917391615"/>
        <c:scaling>
          <c:orientation val="minMax"/>
          <c:min val="5000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>
                    <a:solidFill>
                      <a:schemeClr val="tx1"/>
                    </a:solidFill>
                  </a:rPr>
                  <a:t>Overhead (Fixed expenses)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93327"/>
        <c:crosses val="autoZero"/>
        <c:crossBetween val="midCat"/>
      </c:valAx>
      <c:valAx>
        <c:axId val="191739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>
                    <a:solidFill>
                      <a:schemeClr val="tx1"/>
                    </a:solidFill>
                  </a:rPr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9161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B0F0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1</xdr:row>
      <xdr:rowOff>0</xdr:rowOff>
    </xdr:from>
    <xdr:to>
      <xdr:col>9</xdr:col>
      <xdr:colOff>660400</xdr:colOff>
      <xdr:row>18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72D061-72CD-3965-F7E5-8ABD071EE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152400</xdr:colOff>
      <xdr:row>0</xdr:row>
      <xdr:rowOff>82550</xdr:rowOff>
    </xdr:from>
    <xdr:to>
      <xdr:col>15</xdr:col>
      <xdr:colOff>812800</xdr:colOff>
      <xdr:row>20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298EEB-E51E-6404-C6B0-35967BA96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0</xdr:row>
      <xdr:rowOff>57150</xdr:rowOff>
    </xdr:from>
    <xdr:to>
      <xdr:col>9</xdr:col>
      <xdr:colOff>539750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5D494A-E3DD-3F1C-87B5-56E13B3AE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476250</xdr:colOff>
      <xdr:row>18</xdr:row>
      <xdr:rowOff>82550</xdr:rowOff>
    </xdr:from>
    <xdr:to>
      <xdr:col>10</xdr:col>
      <xdr:colOff>95250</xdr:colOff>
      <xdr:row>35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739E48-AD10-0A73-8297-FABE2590B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6</xdr:row>
      <xdr:rowOff>101600</xdr:rowOff>
    </xdr:from>
    <xdr:to>
      <xdr:col>15</xdr:col>
      <xdr:colOff>558800</xdr:colOff>
      <xdr:row>25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36953C-15D6-20BC-50F0-B6E7C939D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101600</xdr:rowOff>
    </xdr:from>
    <xdr:to>
      <xdr:col>19</xdr:col>
      <xdr:colOff>368300</xdr:colOff>
      <xdr:row>35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D00814-A261-4C17-7C1E-8B13ABD88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215900</xdr:colOff>
      <xdr:row>1</xdr:row>
      <xdr:rowOff>101600</xdr:rowOff>
    </xdr:from>
    <xdr:to>
      <xdr:col>15</xdr:col>
      <xdr:colOff>279400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35FA26-26E0-7B83-09B2-BD267FC9A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330200</xdr:colOff>
      <xdr:row>4</xdr:row>
      <xdr:rowOff>12700</xdr:rowOff>
    </xdr:from>
    <xdr:to>
      <xdr:col>17</xdr:col>
      <xdr:colOff>330200</xdr:colOff>
      <xdr:row>14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4EF1E4-DE54-2D1B-162D-D1DFB87FA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457200</xdr:colOff>
      <xdr:row>21</xdr:row>
      <xdr:rowOff>50800</xdr:rowOff>
    </xdr:from>
    <xdr:to>
      <xdr:col>19</xdr:col>
      <xdr:colOff>330200</xdr:colOff>
      <xdr:row>39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ABC76E-7E90-7B65-D5AA-A2AB48127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342900</xdr:colOff>
      <xdr:row>3</xdr:row>
      <xdr:rowOff>139700</xdr:rowOff>
    </xdr:from>
    <xdr:to>
      <xdr:col>21</xdr:col>
      <xdr:colOff>50800</xdr:colOff>
      <xdr:row>27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6F2C98-F289-7E6C-5D0C-19C692D97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101600</xdr:rowOff>
    </xdr:from>
    <xdr:to>
      <xdr:col>18</xdr:col>
      <xdr:colOff>152400</xdr:colOff>
      <xdr:row>25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D55E4E-4D32-80A3-71C2-137DB0B02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463550</xdr:colOff>
      <xdr:row>32</xdr:row>
      <xdr:rowOff>101600</xdr:rowOff>
    </xdr:from>
    <xdr:to>
      <xdr:col>19</xdr:col>
      <xdr:colOff>647700</xdr:colOff>
      <xdr:row>52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B7D50C-E185-8A6E-8289-3829EC315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3671-8BDE-4989-9834-E43E82FBA396}">
  <dimension ref="A1:H249"/>
  <sheetViews>
    <sheetView showOutlineSymbols="0" zoomScaleNormal="1096" zoomScaleSheetLayoutView="1160" workbookViewId="0">
      <selection activeCell="J6" sqref="J6"/>
    </sheetView>
  </sheetViews>
  <sheetFormatPr baseColWidth="10" defaultColWidth="8.83203125" defaultRowHeight="13" x14ac:dyDescent="0.15"/>
  <cols>
    <col min="1" max="1" width="8.5" bestFit="1" customWidth="1"/>
    <col min="2" max="2" width="13.6640625" bestFit="1" customWidth="1"/>
    <col min="3" max="3" width="10.5" bestFit="1" customWidth="1"/>
    <col min="4" max="4" width="15.5" bestFit="1" customWidth="1"/>
    <col min="5" max="5" width="11.5" bestFit="1" customWidth="1"/>
  </cols>
  <sheetData>
    <row r="1" spans="1:6" s="3" customForma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6" x14ac:dyDescent="0.15">
      <c r="A2" s="4">
        <v>146</v>
      </c>
      <c r="B2" s="11">
        <v>5.25</v>
      </c>
      <c r="C2" s="6">
        <v>47</v>
      </c>
      <c r="D2">
        <v>88.8</v>
      </c>
      <c r="E2">
        <v>1012</v>
      </c>
      <c r="F2">
        <f t="shared" ref="F2:F33" ca="1" si="0">RAND()</f>
        <v>0.56940395019385226</v>
      </c>
    </row>
    <row r="3" spans="1:6" ht="16" x14ac:dyDescent="0.15">
      <c r="A3" s="4">
        <v>128</v>
      </c>
      <c r="B3" s="11">
        <v>2.72</v>
      </c>
      <c r="C3" s="6">
        <v>84</v>
      </c>
      <c r="D3">
        <v>64.599999999999994</v>
      </c>
      <c r="E3">
        <v>247</v>
      </c>
      <c r="F3">
        <f t="shared" ca="1" si="0"/>
        <v>0.37391639966494683</v>
      </c>
    </row>
    <row r="4" spans="1:6" ht="16" x14ac:dyDescent="0.15">
      <c r="A4" s="4">
        <v>139</v>
      </c>
      <c r="B4" s="11">
        <v>1.61</v>
      </c>
      <c r="C4" s="6">
        <v>69</v>
      </c>
      <c r="D4">
        <v>58.6</v>
      </c>
      <c r="E4">
        <v>235</v>
      </c>
      <c r="F4">
        <f t="shared" ca="1" si="0"/>
        <v>0.51157343866685667</v>
      </c>
    </row>
    <row r="5" spans="1:6" x14ac:dyDescent="0.15">
      <c r="A5" s="4">
        <v>55</v>
      </c>
      <c r="B5" s="5">
        <v>2.74</v>
      </c>
      <c r="C5" s="6">
        <v>64</v>
      </c>
      <c r="D5" s="7">
        <v>57.1</v>
      </c>
      <c r="E5" s="6">
        <v>79</v>
      </c>
      <c r="F5">
        <f t="shared" ca="1" si="0"/>
        <v>0.48821262058527237</v>
      </c>
    </row>
    <row r="6" spans="1:6" ht="16" x14ac:dyDescent="0.15">
      <c r="A6" s="4">
        <v>82</v>
      </c>
      <c r="B6" s="11">
        <v>1.21</v>
      </c>
      <c r="C6" s="6">
        <v>64</v>
      </c>
      <c r="D6">
        <v>77.400000000000006</v>
      </c>
      <c r="E6">
        <v>123</v>
      </c>
      <c r="F6">
        <f t="shared" ca="1" si="0"/>
        <v>0.93437316302831608</v>
      </c>
    </row>
    <row r="7" spans="1:6" x14ac:dyDescent="0.15">
      <c r="A7" s="4">
        <v>36</v>
      </c>
      <c r="B7" s="5">
        <v>0.91</v>
      </c>
      <c r="C7" s="6">
        <v>72</v>
      </c>
      <c r="D7" s="7">
        <v>57.8</v>
      </c>
      <c r="E7" s="6">
        <v>65</v>
      </c>
      <c r="F7">
        <f t="shared" ca="1" si="0"/>
        <v>0.23090662682772356</v>
      </c>
    </row>
    <row r="8" spans="1:6" ht="16" x14ac:dyDescent="0.15">
      <c r="A8" s="4">
        <v>92</v>
      </c>
      <c r="B8" s="11">
        <v>3.08</v>
      </c>
      <c r="C8" s="6">
        <v>63</v>
      </c>
      <c r="D8">
        <v>70</v>
      </c>
      <c r="E8">
        <v>630</v>
      </c>
      <c r="F8">
        <f t="shared" ca="1" si="0"/>
        <v>0.54425002665581623</v>
      </c>
    </row>
    <row r="9" spans="1:6" x14ac:dyDescent="0.15">
      <c r="A9" s="4">
        <v>80</v>
      </c>
      <c r="B9" s="5">
        <v>1.42</v>
      </c>
      <c r="C9" s="6">
        <v>57</v>
      </c>
      <c r="D9" s="7">
        <v>63.8</v>
      </c>
      <c r="E9" s="6">
        <v>501</v>
      </c>
      <c r="F9">
        <f t="shared" ca="1" si="0"/>
        <v>0.27844710989051769</v>
      </c>
    </row>
    <row r="10" spans="1:6" ht="16" x14ac:dyDescent="0.15">
      <c r="A10" s="4">
        <v>122</v>
      </c>
      <c r="B10" s="11">
        <v>2.76</v>
      </c>
      <c r="C10" s="6">
        <v>57</v>
      </c>
      <c r="D10">
        <v>78.5</v>
      </c>
      <c r="E10">
        <v>200</v>
      </c>
      <c r="F10">
        <f t="shared" ca="1" si="0"/>
        <v>6.2079650030729017E-2</v>
      </c>
    </row>
    <row r="11" spans="1:6" x14ac:dyDescent="0.15">
      <c r="A11" s="4">
        <v>4</v>
      </c>
      <c r="B11" s="5">
        <v>1.78</v>
      </c>
      <c r="C11" s="6">
        <v>50</v>
      </c>
      <c r="D11" s="7">
        <v>69.7</v>
      </c>
      <c r="E11" s="6">
        <v>579</v>
      </c>
      <c r="F11">
        <f t="shared" ca="1" si="0"/>
        <v>0.75900158604948798</v>
      </c>
    </row>
    <row r="12" spans="1:6" ht="16" x14ac:dyDescent="0.15">
      <c r="A12" s="4">
        <v>120</v>
      </c>
      <c r="B12" s="11">
        <v>1.1200000000000001</v>
      </c>
      <c r="C12" s="6">
        <v>60</v>
      </c>
      <c r="D12">
        <v>67.599999999999994</v>
      </c>
      <c r="E12">
        <v>511</v>
      </c>
      <c r="F12">
        <f t="shared" ca="1" si="0"/>
        <v>2.00553524091307E-3</v>
      </c>
    </row>
    <row r="13" spans="1:6" ht="16" x14ac:dyDescent="0.15">
      <c r="A13" s="4">
        <v>100</v>
      </c>
      <c r="B13" s="11">
        <v>3.6</v>
      </c>
      <c r="C13" s="6">
        <v>68</v>
      </c>
      <c r="D13">
        <v>76.3</v>
      </c>
      <c r="E13">
        <v>587</v>
      </c>
      <c r="F13">
        <f t="shared" ca="1" si="0"/>
        <v>0.7486248890770596</v>
      </c>
    </row>
    <row r="14" spans="1:6" ht="16" x14ac:dyDescent="0.15">
      <c r="A14" s="4">
        <v>101</v>
      </c>
      <c r="B14" s="11">
        <v>2.2000000000000002</v>
      </c>
      <c r="C14" s="6">
        <v>63</v>
      </c>
      <c r="D14">
        <v>66.5</v>
      </c>
      <c r="E14">
        <v>399</v>
      </c>
      <c r="F14">
        <f t="shared" ca="1" si="0"/>
        <v>1.9591472151758382E-2</v>
      </c>
    </row>
    <row r="15" spans="1:6" x14ac:dyDescent="0.15">
      <c r="A15" s="4">
        <v>48</v>
      </c>
      <c r="B15" s="5">
        <v>2.5599999000000002</v>
      </c>
      <c r="C15" s="6">
        <v>80</v>
      </c>
      <c r="D15" s="7">
        <v>61.9</v>
      </c>
      <c r="E15" s="6">
        <v>235</v>
      </c>
      <c r="F15">
        <f t="shared" ca="1" si="0"/>
        <v>0.76360100533363628</v>
      </c>
    </row>
    <row r="16" spans="1:6" ht="16" x14ac:dyDescent="0.15">
      <c r="A16" s="4">
        <v>150</v>
      </c>
      <c r="B16" s="11">
        <v>3.39</v>
      </c>
      <c r="C16" s="6">
        <v>59</v>
      </c>
      <c r="D16">
        <v>85.3</v>
      </c>
      <c r="E16">
        <v>1867</v>
      </c>
      <c r="F16">
        <f t="shared" ca="1" si="0"/>
        <v>0.46472943279366108</v>
      </c>
    </row>
    <row r="17" spans="1:8" ht="16" x14ac:dyDescent="0.15">
      <c r="A17" s="4">
        <v>121</v>
      </c>
      <c r="B17" s="11">
        <v>2.1</v>
      </c>
      <c r="C17" s="6">
        <v>62</v>
      </c>
      <c r="D17">
        <v>71.099999999999994</v>
      </c>
      <c r="E17">
        <v>230</v>
      </c>
      <c r="F17">
        <f t="shared" ca="1" si="0"/>
        <v>0.74261992535771704</v>
      </c>
    </row>
    <row r="18" spans="1:8" x14ac:dyDescent="0.15">
      <c r="A18" s="4">
        <v>50</v>
      </c>
      <c r="B18" s="5">
        <v>1.87</v>
      </c>
      <c r="C18" s="6">
        <v>59</v>
      </c>
      <c r="D18" s="7">
        <v>58.1</v>
      </c>
      <c r="E18" s="6">
        <v>88</v>
      </c>
      <c r="F18">
        <f t="shared" ca="1" si="0"/>
        <v>0.74172706752555218</v>
      </c>
    </row>
    <row r="19" spans="1:8" ht="16" x14ac:dyDescent="0.15">
      <c r="A19" s="4">
        <v>86</v>
      </c>
      <c r="B19" s="11">
        <v>0.93</v>
      </c>
      <c r="C19" s="6">
        <v>66</v>
      </c>
      <c r="D19">
        <v>63.1</v>
      </c>
      <c r="E19">
        <v>162</v>
      </c>
      <c r="F19">
        <f t="shared" ca="1" si="0"/>
        <v>0.80499827373856936</v>
      </c>
    </row>
    <row r="20" spans="1:8" x14ac:dyDescent="0.15">
      <c r="A20" s="4">
        <v>70</v>
      </c>
      <c r="B20" s="5">
        <v>3.1900000999999998</v>
      </c>
      <c r="C20" s="6">
        <v>55</v>
      </c>
      <c r="D20" s="7">
        <v>80.900000000000006</v>
      </c>
      <c r="E20" s="6">
        <v>1766</v>
      </c>
      <c r="F20">
        <f t="shared" ca="1" si="0"/>
        <v>0.54740056871992238</v>
      </c>
    </row>
    <row r="21" spans="1:8" x14ac:dyDescent="0.15">
      <c r="A21" s="4">
        <v>38</v>
      </c>
      <c r="B21" s="5">
        <v>1.96</v>
      </c>
      <c r="C21" s="6">
        <v>64</v>
      </c>
      <c r="D21" s="7">
        <v>66.599999999999994</v>
      </c>
      <c r="E21" s="6">
        <v>423</v>
      </c>
      <c r="F21">
        <f t="shared" ca="1" si="0"/>
        <v>3.2490849351670792E-2</v>
      </c>
      <c r="G21" s="8"/>
      <c r="H21" s="8"/>
    </row>
    <row r="22" spans="1:8" ht="16" x14ac:dyDescent="0.15">
      <c r="A22" s="4">
        <v>147</v>
      </c>
      <c r="B22" s="11">
        <v>3.46</v>
      </c>
      <c r="C22" s="6">
        <v>57</v>
      </c>
      <c r="D22">
        <v>86</v>
      </c>
      <c r="E22">
        <v>959</v>
      </c>
      <c r="F22">
        <f t="shared" ca="1" si="0"/>
        <v>0.77942352292227246</v>
      </c>
      <c r="G22" s="8"/>
      <c r="H22" s="8"/>
    </row>
    <row r="23" spans="1:8" x14ac:dyDescent="0.15">
      <c r="A23" s="4">
        <v>10</v>
      </c>
      <c r="B23" s="5">
        <v>2.29</v>
      </c>
      <c r="C23" s="6">
        <v>64</v>
      </c>
      <c r="D23" s="7">
        <v>65.599999999999994</v>
      </c>
      <c r="E23" s="6">
        <v>65</v>
      </c>
      <c r="F23">
        <f t="shared" ca="1" si="0"/>
        <v>0.59930689404087778</v>
      </c>
      <c r="G23" s="8"/>
      <c r="H23" s="8"/>
    </row>
    <row r="24" spans="1:8" ht="16" x14ac:dyDescent="0.15">
      <c r="A24" s="4">
        <v>135</v>
      </c>
      <c r="B24" s="11">
        <v>3.05</v>
      </c>
      <c r="C24" s="6">
        <v>63</v>
      </c>
      <c r="D24">
        <v>54.5</v>
      </c>
      <c r="E24">
        <v>83</v>
      </c>
      <c r="F24">
        <f t="shared" ca="1" si="0"/>
        <v>0.9566764852300107</v>
      </c>
      <c r="G24" s="8"/>
      <c r="H24" s="8"/>
    </row>
    <row r="25" spans="1:8" x14ac:dyDescent="0.15">
      <c r="A25" s="4">
        <v>79</v>
      </c>
      <c r="B25" s="5">
        <v>1.72</v>
      </c>
      <c r="C25" s="6">
        <v>55</v>
      </c>
      <c r="D25" s="7">
        <v>71.3</v>
      </c>
      <c r="E25" s="6">
        <v>148</v>
      </c>
      <c r="F25">
        <f t="shared" ca="1" si="0"/>
        <v>0.23635187302821703</v>
      </c>
      <c r="G25" s="8"/>
      <c r="H25" s="8"/>
    </row>
    <row r="26" spans="1:8" ht="16" x14ac:dyDescent="0.15">
      <c r="A26" s="4">
        <v>96</v>
      </c>
      <c r="B26" s="11">
        <v>4</v>
      </c>
      <c r="C26" s="6">
        <v>80</v>
      </c>
      <c r="D26">
        <v>69.400000000000006</v>
      </c>
      <c r="E26">
        <v>315</v>
      </c>
      <c r="F26">
        <f t="shared" ca="1" si="0"/>
        <v>0.28423620160642915</v>
      </c>
      <c r="G26" s="8"/>
      <c r="H26" s="8"/>
    </row>
    <row r="27" spans="1:8" ht="16" x14ac:dyDescent="0.15">
      <c r="A27" s="4">
        <v>115</v>
      </c>
      <c r="B27" s="11">
        <v>2.71</v>
      </c>
      <c r="C27" s="6">
        <v>64</v>
      </c>
      <c r="D27">
        <v>79.599999999999994</v>
      </c>
      <c r="E27">
        <v>1309</v>
      </c>
      <c r="F27">
        <f t="shared" ca="1" si="0"/>
        <v>1.6070207058557662E-2</v>
      </c>
      <c r="G27" s="8"/>
      <c r="H27" s="8"/>
    </row>
    <row r="28" spans="1:8" x14ac:dyDescent="0.15">
      <c r="A28" s="4">
        <v>13</v>
      </c>
      <c r="B28" s="5">
        <v>2.3199999</v>
      </c>
      <c r="C28" s="6">
        <v>58</v>
      </c>
      <c r="D28" s="7">
        <v>71</v>
      </c>
      <c r="E28" s="6">
        <v>871</v>
      </c>
      <c r="F28">
        <f t="shared" ca="1" si="0"/>
        <v>0.61191478285114909</v>
      </c>
      <c r="G28" s="8"/>
      <c r="H28" s="8"/>
    </row>
    <row r="29" spans="1:8" x14ac:dyDescent="0.15">
      <c r="A29" s="4">
        <v>69</v>
      </c>
      <c r="B29" s="5">
        <v>0.76</v>
      </c>
      <c r="C29" s="6">
        <v>63</v>
      </c>
      <c r="D29" s="7">
        <v>60.4</v>
      </c>
      <c r="E29" s="6">
        <v>127</v>
      </c>
      <c r="F29">
        <f t="shared" ca="1" si="0"/>
        <v>4.9137564836884584E-2</v>
      </c>
      <c r="G29" s="8"/>
      <c r="H29" s="8"/>
    </row>
    <row r="30" spans="1:8" x14ac:dyDescent="0.15">
      <c r="A30" s="4">
        <v>54</v>
      </c>
      <c r="B30" s="5">
        <v>4.7199998000000001</v>
      </c>
      <c r="C30" s="6">
        <v>65</v>
      </c>
      <c r="D30" s="7">
        <v>65.8</v>
      </c>
      <c r="E30" s="6">
        <v>422</v>
      </c>
      <c r="F30">
        <f t="shared" ca="1" si="0"/>
        <v>0.63691906746104765</v>
      </c>
      <c r="G30" s="8"/>
      <c r="H30" s="8"/>
    </row>
    <row r="31" spans="1:8" ht="16" x14ac:dyDescent="0.15">
      <c r="A31" s="4">
        <v>153</v>
      </c>
      <c r="B31" s="11">
        <v>1.51</v>
      </c>
      <c r="C31" s="6">
        <v>53</v>
      </c>
      <c r="D31">
        <v>71.900000000000006</v>
      </c>
      <c r="E31">
        <v>430</v>
      </c>
      <c r="F31">
        <f t="shared" ca="1" si="0"/>
        <v>9.7347690051261204E-2</v>
      </c>
      <c r="G31" s="8"/>
      <c r="H31" s="8"/>
    </row>
    <row r="32" spans="1:8" x14ac:dyDescent="0.15">
      <c r="A32" s="4">
        <v>22</v>
      </c>
      <c r="B32" s="5">
        <v>1.24</v>
      </c>
      <c r="C32" s="6">
        <v>61</v>
      </c>
      <c r="D32" s="7">
        <v>72.599999999999994</v>
      </c>
      <c r="E32" s="6">
        <v>453</v>
      </c>
      <c r="F32">
        <f t="shared" ca="1" si="0"/>
        <v>0.42230494249545691</v>
      </c>
      <c r="G32" s="8"/>
      <c r="H32" s="8"/>
    </row>
    <row r="33" spans="1:8" ht="16" x14ac:dyDescent="0.15">
      <c r="A33" s="4">
        <v>157</v>
      </c>
      <c r="B33" s="11">
        <v>3.03</v>
      </c>
      <c r="C33" s="6">
        <v>63</v>
      </c>
      <c r="D33">
        <v>79</v>
      </c>
      <c r="E33">
        <v>573</v>
      </c>
      <c r="F33">
        <f t="shared" ca="1" si="0"/>
        <v>0.42537699614349178</v>
      </c>
      <c r="G33" s="8"/>
      <c r="H33" s="8"/>
    </row>
    <row r="34" spans="1:8" ht="16" x14ac:dyDescent="0.15">
      <c r="A34" s="4">
        <v>84</v>
      </c>
      <c r="B34" s="11">
        <v>1.87</v>
      </c>
      <c r="C34" s="6">
        <v>53</v>
      </c>
      <c r="D34">
        <v>73.2</v>
      </c>
      <c r="E34">
        <v>609</v>
      </c>
      <c r="F34">
        <f t="shared" ref="F34:F65" ca="1" si="1">RAND()</f>
        <v>0.13302663777300983</v>
      </c>
      <c r="G34" s="8"/>
      <c r="H34" s="8"/>
    </row>
    <row r="35" spans="1:8" x14ac:dyDescent="0.15">
      <c r="A35" s="4">
        <v>75</v>
      </c>
      <c r="B35" s="5">
        <v>2.23</v>
      </c>
      <c r="C35" s="6">
        <v>53</v>
      </c>
      <c r="D35" s="7">
        <v>83.6</v>
      </c>
      <c r="E35" s="6">
        <v>769</v>
      </c>
      <c r="F35">
        <f t="shared" ca="1" si="1"/>
        <v>0.56449166907058856</v>
      </c>
      <c r="G35" s="9"/>
      <c r="H35" s="9"/>
    </row>
    <row r="36" spans="1:8" x14ac:dyDescent="0.15">
      <c r="A36" s="4">
        <v>74</v>
      </c>
      <c r="B36" s="5">
        <v>1.5700000999999999</v>
      </c>
      <c r="C36" s="6">
        <v>70</v>
      </c>
      <c r="D36" s="7">
        <v>66.8</v>
      </c>
      <c r="E36" s="6">
        <v>370</v>
      </c>
      <c r="F36">
        <f t="shared" ca="1" si="1"/>
        <v>0.91282261245629714</v>
      </c>
      <c r="G36" s="8"/>
      <c r="H36" s="8"/>
    </row>
    <row r="37" spans="1:8" ht="16" x14ac:dyDescent="0.15">
      <c r="A37" s="4">
        <v>136</v>
      </c>
      <c r="B37" s="11">
        <v>4.7699999999999996</v>
      </c>
      <c r="C37" s="6">
        <v>63</v>
      </c>
      <c r="D37">
        <v>79.099999999999994</v>
      </c>
      <c r="E37">
        <v>412</v>
      </c>
      <c r="F37">
        <f t="shared" ca="1" si="1"/>
        <v>0.269590149564371</v>
      </c>
      <c r="G37" s="8"/>
      <c r="H37" s="8"/>
    </row>
    <row r="38" spans="1:8" x14ac:dyDescent="0.15">
      <c r="A38" s="4">
        <v>9</v>
      </c>
      <c r="B38" s="5">
        <v>1.87</v>
      </c>
      <c r="C38" s="6">
        <v>60</v>
      </c>
      <c r="D38" s="7">
        <v>60</v>
      </c>
      <c r="E38" s="6">
        <v>186</v>
      </c>
      <c r="F38">
        <f t="shared" ca="1" si="1"/>
        <v>0.18463657847103587</v>
      </c>
      <c r="G38" s="8"/>
      <c r="H38" s="8"/>
    </row>
    <row r="39" spans="1:8" ht="16" x14ac:dyDescent="0.15">
      <c r="A39" s="4">
        <v>106</v>
      </c>
      <c r="B39" s="11">
        <v>0.89</v>
      </c>
      <c r="C39" s="6">
        <v>67</v>
      </c>
      <c r="D39">
        <v>82</v>
      </c>
      <c r="E39">
        <v>204</v>
      </c>
      <c r="F39">
        <f t="shared" ca="1" si="1"/>
        <v>0.47069451491157732</v>
      </c>
      <c r="G39" s="8"/>
      <c r="H39" s="8"/>
    </row>
    <row r="40" spans="1:8" ht="16" x14ac:dyDescent="0.15">
      <c r="A40" s="4">
        <v>107</v>
      </c>
      <c r="B40" s="11">
        <v>3.78</v>
      </c>
      <c r="C40" s="6">
        <v>55</v>
      </c>
      <c r="D40">
        <v>67.2</v>
      </c>
      <c r="E40">
        <v>98</v>
      </c>
      <c r="F40">
        <f t="shared" ca="1" si="1"/>
        <v>0.58698782279394901</v>
      </c>
      <c r="G40" s="8"/>
      <c r="H40" s="8"/>
    </row>
    <row r="41" spans="1:8" x14ac:dyDescent="0.15">
      <c r="A41" s="4">
        <v>18</v>
      </c>
      <c r="B41" s="5">
        <v>2.74</v>
      </c>
      <c r="C41" s="6">
        <v>62</v>
      </c>
      <c r="D41" s="7">
        <v>60.9</v>
      </c>
      <c r="E41" s="6">
        <v>252</v>
      </c>
      <c r="F41">
        <f t="shared" ca="1" si="1"/>
        <v>0.16696678442583868</v>
      </c>
      <c r="G41" s="8"/>
      <c r="H41" s="8"/>
    </row>
    <row r="42" spans="1:8" x14ac:dyDescent="0.15">
      <c r="A42" s="4">
        <v>5</v>
      </c>
      <c r="B42" s="5">
        <v>1</v>
      </c>
      <c r="C42" s="6">
        <v>70</v>
      </c>
      <c r="D42" s="7">
        <v>69.5</v>
      </c>
      <c r="E42" s="6">
        <v>400</v>
      </c>
      <c r="F42">
        <f t="shared" ca="1" si="1"/>
        <v>0.56059661175299114</v>
      </c>
    </row>
    <row r="43" spans="1:8" ht="16" x14ac:dyDescent="0.15">
      <c r="A43" s="4">
        <v>81</v>
      </c>
      <c r="B43" s="11">
        <v>2.25</v>
      </c>
      <c r="C43" s="6">
        <v>72</v>
      </c>
      <c r="D43">
        <v>69.7</v>
      </c>
      <c r="E43">
        <v>308</v>
      </c>
      <c r="F43">
        <f t="shared" ca="1" si="1"/>
        <v>0.2172830548808562</v>
      </c>
    </row>
    <row r="44" spans="1:8" ht="16" x14ac:dyDescent="0.15">
      <c r="A44" s="4">
        <v>90</v>
      </c>
      <c r="B44" s="11">
        <v>2.39</v>
      </c>
      <c r="C44" s="6">
        <v>67</v>
      </c>
      <c r="D44">
        <v>69.2</v>
      </c>
      <c r="E44">
        <v>68</v>
      </c>
      <c r="F44">
        <f t="shared" ca="1" si="1"/>
        <v>0.7038520820366192</v>
      </c>
    </row>
    <row r="45" spans="1:8" x14ac:dyDescent="0.15">
      <c r="A45" s="4">
        <v>47</v>
      </c>
      <c r="B45" s="5">
        <v>3.76</v>
      </c>
      <c r="C45" s="6">
        <v>45</v>
      </c>
      <c r="D45" s="7">
        <v>78.7</v>
      </c>
      <c r="E45" s="6">
        <v>421</v>
      </c>
      <c r="F45">
        <f t="shared" ca="1" si="1"/>
        <v>0.53300275709111566</v>
      </c>
    </row>
    <row r="46" spans="1:8" x14ac:dyDescent="0.15">
      <c r="A46" s="4">
        <v>7</v>
      </c>
      <c r="B46" s="5">
        <v>1.24</v>
      </c>
      <c r="C46" s="6">
        <v>70</v>
      </c>
      <c r="D46" s="7">
        <v>76.400000000000006</v>
      </c>
      <c r="E46" s="6">
        <v>1234</v>
      </c>
      <c r="F46">
        <f t="shared" ca="1" si="1"/>
        <v>6.0512392513762503E-2</v>
      </c>
    </row>
    <row r="47" spans="1:8" x14ac:dyDescent="0.15">
      <c r="A47" s="4">
        <v>63</v>
      </c>
      <c r="B47" s="5">
        <v>2.02</v>
      </c>
      <c r="C47" s="6">
        <v>64</v>
      </c>
      <c r="D47" s="7">
        <v>62.2</v>
      </c>
      <c r="E47" s="6">
        <v>189</v>
      </c>
      <c r="F47">
        <f t="shared" ca="1" si="1"/>
        <v>0.58622838530604859</v>
      </c>
    </row>
    <row r="48" spans="1:8" x14ac:dyDescent="0.15">
      <c r="A48" s="4">
        <v>56</v>
      </c>
      <c r="B48" s="5">
        <v>4.54</v>
      </c>
      <c r="C48" s="6">
        <v>64</v>
      </c>
      <c r="D48" s="7">
        <v>74.7</v>
      </c>
      <c r="E48" s="6">
        <v>393</v>
      </c>
      <c r="F48">
        <f t="shared" ca="1" si="1"/>
        <v>0.99590033037327896</v>
      </c>
    </row>
    <row r="49" spans="1:8" ht="16" x14ac:dyDescent="0.15">
      <c r="A49" s="4">
        <v>132</v>
      </c>
      <c r="B49" s="11">
        <v>1.61</v>
      </c>
      <c r="C49" s="6">
        <v>69</v>
      </c>
      <c r="D49">
        <v>66.2</v>
      </c>
      <c r="E49">
        <v>914</v>
      </c>
      <c r="F49">
        <f t="shared" ca="1" si="1"/>
        <v>0.64411222533790913</v>
      </c>
    </row>
    <row r="50" spans="1:8" x14ac:dyDescent="0.15">
      <c r="A50" s="4">
        <v>42</v>
      </c>
      <c r="B50" s="5">
        <v>2.6199998999999998</v>
      </c>
      <c r="C50" s="6">
        <v>59</v>
      </c>
      <c r="D50" s="7">
        <v>74.599999999999994</v>
      </c>
      <c r="E50" s="6">
        <v>190</v>
      </c>
      <c r="F50">
        <f t="shared" ca="1" si="1"/>
        <v>0.52426499085990541</v>
      </c>
    </row>
    <row r="51" spans="1:8" x14ac:dyDescent="0.15">
      <c r="A51" s="4">
        <v>60</v>
      </c>
      <c r="B51" s="5">
        <v>1.0900000000000001</v>
      </c>
      <c r="C51" s="6">
        <v>70</v>
      </c>
      <c r="D51" s="7">
        <v>60.9</v>
      </c>
      <c r="E51" s="6">
        <v>573</v>
      </c>
      <c r="F51">
        <f t="shared" ca="1" si="1"/>
        <v>0.92023051498679864</v>
      </c>
    </row>
    <row r="52" spans="1:8" ht="16" x14ac:dyDescent="0.15">
      <c r="A52" s="4">
        <v>134</v>
      </c>
      <c r="B52" s="11">
        <v>5.01</v>
      </c>
      <c r="C52" s="6">
        <v>71</v>
      </c>
      <c r="D52">
        <v>69.7</v>
      </c>
      <c r="E52">
        <v>442</v>
      </c>
      <c r="F52">
        <f t="shared" ca="1" si="1"/>
        <v>0.89255672447458612</v>
      </c>
    </row>
    <row r="53" spans="1:8" x14ac:dyDescent="0.15">
      <c r="A53" s="4">
        <v>67</v>
      </c>
      <c r="B53" s="5">
        <v>3.28</v>
      </c>
      <c r="C53" s="6">
        <v>54</v>
      </c>
      <c r="D53" s="7">
        <v>81.599999999999994</v>
      </c>
      <c r="E53" s="6">
        <v>921</v>
      </c>
      <c r="F53">
        <f t="shared" ca="1" si="1"/>
        <v>3.5907432168307274E-3</v>
      </c>
    </row>
    <row r="54" spans="1:8" ht="16" x14ac:dyDescent="0.15">
      <c r="A54" s="4">
        <v>140</v>
      </c>
      <c r="B54" s="11">
        <v>1.1499999999999999</v>
      </c>
      <c r="C54" s="6">
        <v>73</v>
      </c>
      <c r="D54">
        <v>64.8</v>
      </c>
      <c r="E54">
        <v>602</v>
      </c>
      <c r="F54">
        <f t="shared" ca="1" si="1"/>
        <v>0.85653092651672835</v>
      </c>
    </row>
    <row r="55" spans="1:8" x14ac:dyDescent="0.15">
      <c r="A55" s="4">
        <v>73</v>
      </c>
      <c r="B55" s="5">
        <v>1.36</v>
      </c>
      <c r="C55" s="6">
        <v>50</v>
      </c>
      <c r="D55" s="7">
        <v>68.099999999999994</v>
      </c>
      <c r="E55" s="6">
        <v>408</v>
      </c>
      <c r="F55">
        <f t="shared" ca="1" si="1"/>
        <v>7.5818028315593589E-2</v>
      </c>
    </row>
    <row r="56" spans="1:8" x14ac:dyDescent="0.15">
      <c r="A56" s="4">
        <v>39</v>
      </c>
      <c r="B56" s="5">
        <v>2.1099999</v>
      </c>
      <c r="C56" s="6">
        <v>54</v>
      </c>
      <c r="D56" s="7">
        <v>59.8</v>
      </c>
      <c r="E56" s="6">
        <v>429</v>
      </c>
      <c r="F56">
        <f t="shared" ca="1" si="1"/>
        <v>0.66639445045804369</v>
      </c>
    </row>
    <row r="57" spans="1:8" x14ac:dyDescent="0.15">
      <c r="A57" s="4">
        <v>49</v>
      </c>
      <c r="B57" s="5">
        <v>1.9</v>
      </c>
      <c r="C57" s="6">
        <v>37</v>
      </c>
      <c r="D57" s="7">
        <v>85.6</v>
      </c>
      <c r="E57" s="6">
        <v>1866</v>
      </c>
      <c r="F57">
        <f t="shared" ca="1" si="1"/>
        <v>1.3489152733439314E-2</v>
      </c>
      <c r="G57" s="10"/>
      <c r="H57" s="10"/>
    </row>
    <row r="58" spans="1:8" x14ac:dyDescent="0.15">
      <c r="A58" s="4">
        <v>28</v>
      </c>
      <c r="B58" s="5">
        <v>1.96</v>
      </c>
      <c r="C58" s="6">
        <v>61</v>
      </c>
      <c r="D58" s="7">
        <v>76</v>
      </c>
      <c r="E58" s="6">
        <v>609</v>
      </c>
      <c r="F58">
        <f t="shared" ca="1" si="1"/>
        <v>0.33859811852459898</v>
      </c>
    </row>
    <row r="59" spans="1:8" x14ac:dyDescent="0.15">
      <c r="A59" s="4">
        <v>25</v>
      </c>
      <c r="B59" s="5">
        <v>4</v>
      </c>
      <c r="C59" s="6">
        <v>58</v>
      </c>
      <c r="D59" s="7">
        <v>74.8</v>
      </c>
      <c r="E59" s="6">
        <v>435</v>
      </c>
      <c r="F59">
        <f t="shared" ca="1" si="1"/>
        <v>0.68044148834188234</v>
      </c>
    </row>
    <row r="60" spans="1:8" x14ac:dyDescent="0.15">
      <c r="A60" s="4">
        <v>51</v>
      </c>
      <c r="B60" s="5">
        <v>4.4499997999999996</v>
      </c>
      <c r="C60" s="6">
        <v>55</v>
      </c>
      <c r="D60" s="7">
        <v>75.599999999999994</v>
      </c>
      <c r="E60" s="6">
        <v>1833</v>
      </c>
      <c r="F60">
        <f t="shared" ca="1" si="1"/>
        <v>0.50237096416820626</v>
      </c>
    </row>
    <row r="61" spans="1:8" x14ac:dyDescent="0.15">
      <c r="A61" s="4">
        <v>59</v>
      </c>
      <c r="B61" s="5">
        <v>1.54</v>
      </c>
      <c r="C61" s="6">
        <v>66</v>
      </c>
      <c r="D61" s="7">
        <v>55.2</v>
      </c>
      <c r="E61" s="6">
        <v>224</v>
      </c>
      <c r="F61">
        <f t="shared" ca="1" si="1"/>
        <v>0.18346549432516956</v>
      </c>
    </row>
    <row r="62" spans="1:8" x14ac:dyDescent="0.15">
      <c r="A62" s="4">
        <v>68</v>
      </c>
      <c r="B62" s="5">
        <v>2.6199998999999998</v>
      </c>
      <c r="C62" s="6">
        <v>79</v>
      </c>
      <c r="D62" s="7">
        <v>76.7</v>
      </c>
      <c r="E62" s="6">
        <v>214</v>
      </c>
      <c r="F62">
        <f t="shared" ca="1" si="1"/>
        <v>0.84748974631412843</v>
      </c>
    </row>
    <row r="63" spans="1:8" x14ac:dyDescent="0.15">
      <c r="A63" s="4">
        <v>72</v>
      </c>
      <c r="B63" s="5">
        <v>3.04</v>
      </c>
      <c r="C63" s="6">
        <v>57</v>
      </c>
      <c r="D63" s="7">
        <v>79.2</v>
      </c>
      <c r="E63" s="6">
        <v>764</v>
      </c>
      <c r="F63">
        <f t="shared" ca="1" si="1"/>
        <v>0.80960471804531031</v>
      </c>
    </row>
    <row r="64" spans="1:8" x14ac:dyDescent="0.15">
      <c r="A64" s="4">
        <v>20</v>
      </c>
      <c r="B64" s="5">
        <v>3.4300001</v>
      </c>
      <c r="C64" s="6">
        <v>65</v>
      </c>
      <c r="D64" s="7">
        <v>72.2</v>
      </c>
      <c r="E64" s="6">
        <v>558</v>
      </c>
      <c r="F64">
        <f t="shared" ca="1" si="1"/>
        <v>0.79631783879448959</v>
      </c>
    </row>
    <row r="65" spans="1:6" ht="16" x14ac:dyDescent="0.15">
      <c r="A65" s="4">
        <v>83</v>
      </c>
      <c r="B65" s="11">
        <v>0.52</v>
      </c>
      <c r="C65" s="6">
        <v>62</v>
      </c>
      <c r="D65">
        <v>65.900000000000006</v>
      </c>
      <c r="E65">
        <v>375</v>
      </c>
      <c r="F65">
        <f t="shared" ca="1" si="1"/>
        <v>0.83052026344445462</v>
      </c>
    </row>
    <row r="66" spans="1:6" ht="16" x14ac:dyDescent="0.15">
      <c r="A66" s="4">
        <v>85</v>
      </c>
      <c r="B66" s="11">
        <v>1.05</v>
      </c>
      <c r="C66" s="6">
        <v>74</v>
      </c>
      <c r="D66">
        <v>73</v>
      </c>
      <c r="E66">
        <v>420</v>
      </c>
      <c r="F66">
        <f t="shared" ref="F66:F97" ca="1" si="2">RAND()</f>
        <v>0.26899419437123451</v>
      </c>
    </row>
    <row r="67" spans="1:6" x14ac:dyDescent="0.15">
      <c r="A67" s="4">
        <v>6</v>
      </c>
      <c r="B67" s="5">
        <v>0.88</v>
      </c>
      <c r="C67" s="6">
        <v>63</v>
      </c>
      <c r="D67" s="7">
        <v>60.1</v>
      </c>
      <c r="E67" s="6">
        <v>154</v>
      </c>
      <c r="F67">
        <f t="shared" ca="1" si="2"/>
        <v>0.46814430685767217</v>
      </c>
    </row>
    <row r="68" spans="1:6" x14ac:dyDescent="0.15">
      <c r="A68" s="4">
        <v>17</v>
      </c>
      <c r="B68" s="5">
        <v>1.99</v>
      </c>
      <c r="C68" s="6">
        <v>54</v>
      </c>
      <c r="D68" s="7">
        <v>56.4</v>
      </c>
      <c r="E68" s="6">
        <v>126</v>
      </c>
      <c r="F68">
        <f t="shared" ca="1" si="2"/>
        <v>4.5783097062570555E-2</v>
      </c>
    </row>
    <row r="69" spans="1:6" x14ac:dyDescent="0.15">
      <c r="A69" s="4">
        <v>58</v>
      </c>
      <c r="B69" s="5">
        <v>3.0699999</v>
      </c>
      <c r="C69" s="6">
        <v>57</v>
      </c>
      <c r="D69" s="7">
        <v>68.5</v>
      </c>
      <c r="E69" s="6">
        <v>316</v>
      </c>
      <c r="F69">
        <f t="shared" ca="1" si="2"/>
        <v>0.22699179229424349</v>
      </c>
    </row>
    <row r="70" spans="1:6" ht="16" x14ac:dyDescent="0.15">
      <c r="A70" s="4">
        <v>130</v>
      </c>
      <c r="B70" s="11">
        <v>1.96</v>
      </c>
      <c r="C70" s="6">
        <v>59</v>
      </c>
      <c r="D70">
        <v>61</v>
      </c>
      <c r="E70">
        <v>92</v>
      </c>
      <c r="F70">
        <f t="shared" ca="1" si="2"/>
        <v>0.34772769273181181</v>
      </c>
    </row>
    <row r="71" spans="1:6" ht="16" x14ac:dyDescent="0.15">
      <c r="A71" s="4">
        <v>99</v>
      </c>
      <c r="B71" s="11">
        <v>2.2000000000000002</v>
      </c>
      <c r="C71" s="6">
        <v>63</v>
      </c>
      <c r="D71">
        <v>70.400000000000006</v>
      </c>
      <c r="E71">
        <v>462</v>
      </c>
      <c r="F71">
        <f t="shared" ca="1" si="2"/>
        <v>9.1892383898850571E-4</v>
      </c>
    </row>
    <row r="72" spans="1:6" x14ac:dyDescent="0.15">
      <c r="A72" s="4">
        <v>31</v>
      </c>
      <c r="B72" s="5">
        <v>2.3499998999999998</v>
      </c>
      <c r="C72" s="6">
        <v>66</v>
      </c>
      <c r="D72" s="7">
        <v>72.599999999999994</v>
      </c>
      <c r="E72" s="6">
        <v>1182</v>
      </c>
      <c r="F72">
        <f t="shared" ca="1" si="2"/>
        <v>0.68712900340028593</v>
      </c>
    </row>
    <row r="73" spans="1:6" x14ac:dyDescent="0.15">
      <c r="A73" s="4">
        <v>66</v>
      </c>
      <c r="B73" s="5">
        <v>4.9000000999999997</v>
      </c>
      <c r="C73" s="6">
        <v>45</v>
      </c>
      <c r="D73" s="7">
        <v>84.1</v>
      </c>
      <c r="E73" s="6">
        <v>964</v>
      </c>
      <c r="F73">
        <f t="shared" ca="1" si="2"/>
        <v>0.21484997692051344</v>
      </c>
    </row>
    <row r="74" spans="1:6" ht="16" x14ac:dyDescent="0.15">
      <c r="A74" s="4">
        <v>138</v>
      </c>
      <c r="B74" s="11">
        <v>3.17</v>
      </c>
      <c r="C74" s="6">
        <v>59</v>
      </c>
      <c r="D74">
        <v>72.400000000000006</v>
      </c>
      <c r="E74">
        <v>332</v>
      </c>
      <c r="F74">
        <f t="shared" ca="1" si="2"/>
        <v>6.3725373785961215E-2</v>
      </c>
    </row>
    <row r="75" spans="1:6" x14ac:dyDescent="0.15">
      <c r="A75" s="4">
        <v>44</v>
      </c>
      <c r="B75" s="5">
        <v>1.87</v>
      </c>
      <c r="C75" s="6">
        <v>69</v>
      </c>
      <c r="D75" s="7">
        <v>72.7</v>
      </c>
      <c r="E75" s="6">
        <v>1422</v>
      </c>
      <c r="F75">
        <f t="shared" ca="1" si="2"/>
        <v>0.86911974278465176</v>
      </c>
    </row>
    <row r="76" spans="1:6" x14ac:dyDescent="0.15">
      <c r="A76" s="4">
        <v>71</v>
      </c>
      <c r="B76" s="5">
        <v>3.52</v>
      </c>
      <c r="C76" s="6">
        <v>54</v>
      </c>
      <c r="D76" s="7">
        <v>74.8</v>
      </c>
      <c r="E76" s="6">
        <v>1576</v>
      </c>
      <c r="F76">
        <f t="shared" ca="1" si="2"/>
        <v>0.47714540238070546</v>
      </c>
    </row>
    <row r="77" spans="1:6" ht="16" x14ac:dyDescent="0.15">
      <c r="A77" s="4">
        <v>113</v>
      </c>
      <c r="B77" s="11">
        <v>2.1800000000000002</v>
      </c>
      <c r="C77" s="6">
        <v>60</v>
      </c>
      <c r="D77">
        <v>68.599999999999994</v>
      </c>
      <c r="E77">
        <v>538</v>
      </c>
      <c r="F77">
        <f t="shared" ca="1" si="2"/>
        <v>0.32268257081701923</v>
      </c>
    </row>
    <row r="78" spans="1:6" x14ac:dyDescent="0.15">
      <c r="A78" s="4">
        <v>46</v>
      </c>
      <c r="B78" s="5">
        <v>2.77</v>
      </c>
      <c r="C78" s="6">
        <v>68</v>
      </c>
      <c r="D78" s="7">
        <v>72.400000000000006</v>
      </c>
      <c r="E78" s="6">
        <v>531</v>
      </c>
      <c r="F78">
        <f t="shared" ca="1" si="2"/>
        <v>0.78171952937194766</v>
      </c>
    </row>
    <row r="79" spans="1:6" x14ac:dyDescent="0.15">
      <c r="A79" s="4">
        <v>15</v>
      </c>
      <c r="B79" s="5">
        <v>1.33</v>
      </c>
      <c r="C79" s="6">
        <v>59</v>
      </c>
      <c r="D79" s="7">
        <v>68.7</v>
      </c>
      <c r="E79" s="6">
        <v>337</v>
      </c>
      <c r="F79">
        <f t="shared" ca="1" si="2"/>
        <v>0.87979513643242802</v>
      </c>
    </row>
    <row r="80" spans="1:6" ht="16" x14ac:dyDescent="0.15">
      <c r="A80" s="4">
        <v>91</v>
      </c>
      <c r="B80" s="11">
        <v>3.17</v>
      </c>
      <c r="C80" s="6">
        <v>74</v>
      </c>
      <c r="D80">
        <v>70</v>
      </c>
      <c r="E80">
        <v>827</v>
      </c>
      <c r="F80">
        <f t="shared" ca="1" si="2"/>
        <v>0.78280456806871712</v>
      </c>
    </row>
    <row r="81" spans="1:6" ht="16" x14ac:dyDescent="0.15">
      <c r="A81" s="4">
        <v>148</v>
      </c>
      <c r="B81" s="11">
        <v>2.74</v>
      </c>
      <c r="C81" s="6">
        <v>84</v>
      </c>
      <c r="D81">
        <v>80.5</v>
      </c>
      <c r="E81">
        <v>226</v>
      </c>
      <c r="F81">
        <f t="shared" ca="1" si="2"/>
        <v>0.40271329214944951</v>
      </c>
    </row>
    <row r="82" spans="1:6" ht="16" x14ac:dyDescent="0.15">
      <c r="A82" s="4">
        <v>102</v>
      </c>
      <c r="B82" s="11">
        <v>1.3</v>
      </c>
      <c r="C82" s="6">
        <v>61</v>
      </c>
      <c r="D82">
        <v>76.5</v>
      </c>
      <c r="E82">
        <v>476</v>
      </c>
      <c r="F82">
        <f t="shared" ca="1" si="2"/>
        <v>0.58252326182943859</v>
      </c>
    </row>
    <row r="83" spans="1:6" x14ac:dyDescent="0.15">
      <c r="A83" s="4">
        <v>43</v>
      </c>
      <c r="B83" s="5">
        <v>1.03</v>
      </c>
      <c r="C83" s="6">
        <v>50</v>
      </c>
      <c r="D83" s="7">
        <v>67.900000000000006</v>
      </c>
      <c r="E83" s="6">
        <v>169</v>
      </c>
      <c r="F83">
        <f t="shared" ca="1" si="2"/>
        <v>0.97235176481912466</v>
      </c>
    </row>
    <row r="84" spans="1:6" ht="16" x14ac:dyDescent="0.15">
      <c r="A84" s="4">
        <v>127</v>
      </c>
      <c r="B84" s="11">
        <v>3.96</v>
      </c>
      <c r="C84" s="6">
        <v>47</v>
      </c>
      <c r="D84">
        <v>82.7</v>
      </c>
      <c r="E84">
        <v>442</v>
      </c>
      <c r="F84">
        <f t="shared" ca="1" si="2"/>
        <v>0.87351773452591841</v>
      </c>
    </row>
    <row r="85" spans="1:6" ht="16" x14ac:dyDescent="0.15">
      <c r="A85" s="4">
        <v>87</v>
      </c>
      <c r="B85" s="11">
        <v>1.3</v>
      </c>
      <c r="C85" s="6">
        <v>75</v>
      </c>
      <c r="D85">
        <v>80.2</v>
      </c>
      <c r="E85">
        <v>1297</v>
      </c>
      <c r="F85">
        <f t="shared" ca="1" si="2"/>
        <v>0.93705702853663364</v>
      </c>
    </row>
    <row r="86" spans="1:6" ht="16" x14ac:dyDescent="0.15">
      <c r="A86" s="4">
        <v>141</v>
      </c>
      <c r="B86" s="11">
        <v>2.63</v>
      </c>
      <c r="C86" s="6">
        <v>70</v>
      </c>
      <c r="D86">
        <v>76.3</v>
      </c>
      <c r="E86">
        <v>484</v>
      </c>
      <c r="F86">
        <f t="shared" ca="1" si="2"/>
        <v>0.93424982201196716</v>
      </c>
    </row>
    <row r="87" spans="1:6" x14ac:dyDescent="0.15">
      <c r="A87" s="4">
        <v>61</v>
      </c>
      <c r="B87" s="5">
        <v>2.5</v>
      </c>
      <c r="C87" s="6">
        <v>66</v>
      </c>
      <c r="D87" s="7">
        <v>72.3</v>
      </c>
      <c r="E87" s="6">
        <v>461</v>
      </c>
      <c r="F87">
        <f t="shared" ca="1" si="2"/>
        <v>0.53445682865477195</v>
      </c>
    </row>
    <row r="88" spans="1:6" ht="16" x14ac:dyDescent="0.15">
      <c r="A88" s="4">
        <v>117</v>
      </c>
      <c r="B88" s="11">
        <v>1.76</v>
      </c>
      <c r="C88" s="6">
        <v>56</v>
      </c>
      <c r="D88">
        <v>84.2</v>
      </c>
      <c r="E88">
        <v>166</v>
      </c>
      <c r="F88">
        <f t="shared" ca="1" si="2"/>
        <v>0.30238379174079488</v>
      </c>
    </row>
    <row r="89" spans="1:6" x14ac:dyDescent="0.15">
      <c r="A89" s="4">
        <v>2</v>
      </c>
      <c r="B89" s="5">
        <v>1.1499999999999999</v>
      </c>
      <c r="C89" s="6">
        <v>61</v>
      </c>
      <c r="D89" s="7">
        <v>73.7</v>
      </c>
      <c r="E89" s="6">
        <v>117</v>
      </c>
      <c r="F89">
        <f t="shared" ca="1" si="2"/>
        <v>0.38248320975057626</v>
      </c>
    </row>
    <row r="90" spans="1:6" ht="16" x14ac:dyDescent="0.15">
      <c r="A90" s="4">
        <v>98</v>
      </c>
      <c r="B90" s="11">
        <v>2.88</v>
      </c>
      <c r="C90" s="6">
        <v>65</v>
      </c>
      <c r="D90">
        <v>64.400000000000006</v>
      </c>
      <c r="E90">
        <v>265</v>
      </c>
      <c r="F90">
        <f t="shared" ca="1" si="2"/>
        <v>0.15554615659427484</v>
      </c>
    </row>
    <row r="91" spans="1:6" ht="16" x14ac:dyDescent="0.15">
      <c r="A91" s="4">
        <v>145</v>
      </c>
      <c r="B91" s="11">
        <v>2.2799999999999998</v>
      </c>
      <c r="C91" s="6">
        <v>63</v>
      </c>
      <c r="D91">
        <v>69.599999999999994</v>
      </c>
      <c r="E91">
        <v>1015</v>
      </c>
      <c r="F91">
        <f t="shared" ca="1" si="2"/>
        <v>7.8977018436657942E-2</v>
      </c>
    </row>
    <row r="92" spans="1:6" x14ac:dyDescent="0.15">
      <c r="A92" s="4">
        <v>41</v>
      </c>
      <c r="B92" s="5">
        <v>2.0799998999999998</v>
      </c>
      <c r="C92" s="6">
        <v>60</v>
      </c>
      <c r="D92" s="7">
        <v>67.7</v>
      </c>
      <c r="E92" s="6">
        <v>218</v>
      </c>
      <c r="F92">
        <f t="shared" ca="1" si="2"/>
        <v>0.89094119427300578</v>
      </c>
    </row>
    <row r="93" spans="1:6" ht="16" x14ac:dyDescent="0.15">
      <c r="A93" s="4">
        <v>131</v>
      </c>
      <c r="B93" s="11">
        <v>4.68</v>
      </c>
      <c r="C93" s="6">
        <v>58</v>
      </c>
      <c r="D93">
        <v>79.400000000000006</v>
      </c>
      <c r="E93">
        <v>1925</v>
      </c>
      <c r="F93">
        <f t="shared" ca="1" si="2"/>
        <v>0.22659104460729551</v>
      </c>
    </row>
    <row r="94" spans="1:6" x14ac:dyDescent="0.15">
      <c r="A94" s="4">
        <v>40</v>
      </c>
      <c r="B94" s="5">
        <v>1.0599999</v>
      </c>
      <c r="C94" s="6">
        <v>58</v>
      </c>
      <c r="D94" s="7">
        <v>64.2</v>
      </c>
      <c r="E94" s="6">
        <v>487</v>
      </c>
      <c r="F94">
        <f t="shared" ca="1" si="2"/>
        <v>0.53110168105246669</v>
      </c>
    </row>
    <row r="95" spans="1:6" ht="16" x14ac:dyDescent="0.15">
      <c r="A95" s="4">
        <v>119</v>
      </c>
      <c r="B95" s="11">
        <v>2.2200000000000002</v>
      </c>
      <c r="C95" s="6">
        <v>57</v>
      </c>
      <c r="D95">
        <v>62.8</v>
      </c>
      <c r="E95">
        <v>450</v>
      </c>
      <c r="F95">
        <f t="shared" ca="1" si="2"/>
        <v>0.94943046581720769</v>
      </c>
    </row>
    <row r="96" spans="1:6" x14ac:dyDescent="0.15">
      <c r="A96" s="4">
        <v>23</v>
      </c>
      <c r="B96" s="5">
        <v>2.8599999</v>
      </c>
      <c r="C96" s="6">
        <v>37</v>
      </c>
      <c r="D96" s="7">
        <v>70.099999999999994</v>
      </c>
      <c r="E96" s="6">
        <v>233</v>
      </c>
      <c r="F96">
        <f t="shared" ca="1" si="2"/>
        <v>0.75498149012403559</v>
      </c>
    </row>
    <row r="97" spans="1:6" x14ac:dyDescent="0.15">
      <c r="A97" s="4">
        <v>24</v>
      </c>
      <c r="B97" s="5">
        <v>1.24</v>
      </c>
      <c r="C97" s="6">
        <v>65</v>
      </c>
      <c r="D97" s="7">
        <v>56.2</v>
      </c>
      <c r="E97" s="6">
        <v>194</v>
      </c>
      <c r="F97">
        <f t="shared" ca="1" si="2"/>
        <v>0.74507553716676034</v>
      </c>
    </row>
    <row r="98" spans="1:6" ht="16" x14ac:dyDescent="0.15">
      <c r="A98" s="4">
        <v>143</v>
      </c>
      <c r="B98" s="11">
        <v>2.12</v>
      </c>
      <c r="C98" s="6">
        <v>68</v>
      </c>
      <c r="D98">
        <v>65.3</v>
      </c>
      <c r="E98">
        <v>201</v>
      </c>
      <c r="F98">
        <f t="shared" ref="F98:F129" ca="1" si="3">RAND()</f>
        <v>0.53611676403981701</v>
      </c>
    </row>
    <row r="99" spans="1:6" x14ac:dyDescent="0.15">
      <c r="A99" s="4">
        <v>76</v>
      </c>
      <c r="B99" s="5">
        <v>3.01</v>
      </c>
      <c r="C99" s="6">
        <v>63</v>
      </c>
      <c r="D99" s="7">
        <v>61.7</v>
      </c>
      <c r="E99" s="6">
        <v>1041</v>
      </c>
      <c r="F99">
        <f t="shared" ca="1" si="3"/>
        <v>0.57956247628360924</v>
      </c>
    </row>
    <row r="100" spans="1:6" ht="16" x14ac:dyDescent="0.15">
      <c r="A100" s="4">
        <v>97</v>
      </c>
      <c r="B100" s="11">
        <v>2.1</v>
      </c>
      <c r="C100" s="6">
        <v>57</v>
      </c>
      <c r="D100">
        <v>59.2</v>
      </c>
      <c r="E100">
        <v>132</v>
      </c>
      <c r="F100">
        <f t="shared" ca="1" si="3"/>
        <v>0.79003297515270665</v>
      </c>
    </row>
    <row r="101" spans="1:6" ht="16" x14ac:dyDescent="0.15">
      <c r="A101" s="4">
        <v>116</v>
      </c>
      <c r="B101" s="11">
        <v>0.95</v>
      </c>
      <c r="C101" s="6">
        <v>76</v>
      </c>
      <c r="D101">
        <v>60.7</v>
      </c>
      <c r="E101">
        <v>68</v>
      </c>
      <c r="F101">
        <f t="shared" ca="1" si="3"/>
        <v>0.59791635908906937</v>
      </c>
    </row>
    <row r="102" spans="1:6" x14ac:dyDescent="0.15">
      <c r="A102" s="4">
        <v>11</v>
      </c>
      <c r="B102" s="5">
        <v>3.0699999</v>
      </c>
      <c r="C102" s="6">
        <v>70</v>
      </c>
      <c r="D102" s="7">
        <v>66.5</v>
      </c>
      <c r="E102" s="6">
        <v>788</v>
      </c>
      <c r="F102">
        <f t="shared" ca="1" si="3"/>
        <v>0.73224652588353434</v>
      </c>
    </row>
    <row r="103" spans="1:6" ht="16" x14ac:dyDescent="0.15">
      <c r="A103" s="4">
        <v>112</v>
      </c>
      <c r="B103" s="11">
        <v>4.17</v>
      </c>
      <c r="C103" s="6">
        <v>71</v>
      </c>
      <c r="D103">
        <v>80.7</v>
      </c>
      <c r="E103">
        <v>1277</v>
      </c>
      <c r="F103">
        <f t="shared" ca="1" si="3"/>
        <v>0.9480219306632488</v>
      </c>
    </row>
    <row r="104" spans="1:6" ht="16" x14ac:dyDescent="0.15">
      <c r="A104" s="4">
        <v>156</v>
      </c>
      <c r="B104" s="11">
        <v>3.16</v>
      </c>
      <c r="C104" s="6">
        <v>63</v>
      </c>
      <c r="D104">
        <v>64.8</v>
      </c>
      <c r="E104">
        <v>1093</v>
      </c>
      <c r="F104">
        <f t="shared" ca="1" si="3"/>
        <v>0.72003082652516182</v>
      </c>
    </row>
    <row r="105" spans="1:6" ht="16" x14ac:dyDescent="0.15">
      <c r="A105" s="4">
        <v>118</v>
      </c>
      <c r="B105" s="11">
        <v>2.06</v>
      </c>
      <c r="C105" s="6">
        <v>63</v>
      </c>
      <c r="D105">
        <v>70</v>
      </c>
      <c r="E105">
        <v>444</v>
      </c>
      <c r="F105">
        <f t="shared" ca="1" si="3"/>
        <v>0.58773446950077246</v>
      </c>
    </row>
    <row r="106" spans="1:6" ht="16" x14ac:dyDescent="0.15">
      <c r="A106" s="4">
        <v>103</v>
      </c>
      <c r="B106" s="11">
        <v>3.01</v>
      </c>
      <c r="C106" s="6">
        <v>39</v>
      </c>
      <c r="D106">
        <v>74</v>
      </c>
      <c r="E106">
        <v>245</v>
      </c>
      <c r="F106">
        <f t="shared" ca="1" si="3"/>
        <v>0.11129521445691748</v>
      </c>
    </row>
    <row r="107" spans="1:6" ht="16" x14ac:dyDescent="0.15">
      <c r="A107" s="4">
        <v>104</v>
      </c>
      <c r="B107" s="11">
        <v>1.3</v>
      </c>
      <c r="C107" s="6">
        <v>67</v>
      </c>
      <c r="D107">
        <v>59</v>
      </c>
      <c r="E107">
        <v>204</v>
      </c>
      <c r="F107">
        <f t="shared" ca="1" si="3"/>
        <v>0.60112152844413136</v>
      </c>
    </row>
    <row r="108" spans="1:6" ht="16" x14ac:dyDescent="0.15">
      <c r="A108" s="4">
        <v>159</v>
      </c>
      <c r="B108" s="11">
        <v>1.83</v>
      </c>
      <c r="C108" s="6">
        <v>56</v>
      </c>
      <c r="D108">
        <v>75.2</v>
      </c>
      <c r="E108">
        <v>155</v>
      </c>
      <c r="F108">
        <f t="shared" ca="1" si="3"/>
        <v>0.43869024935256928</v>
      </c>
    </row>
    <row r="109" spans="1:6" ht="16" x14ac:dyDescent="0.15">
      <c r="A109" s="4">
        <v>129</v>
      </c>
      <c r="B109" s="11">
        <v>2</v>
      </c>
      <c r="C109" s="6">
        <v>35</v>
      </c>
      <c r="D109">
        <v>90.4</v>
      </c>
      <c r="E109">
        <v>1959</v>
      </c>
      <c r="F109">
        <f t="shared" ca="1" si="3"/>
        <v>0.75511556351745868</v>
      </c>
    </row>
    <row r="110" spans="1:6" ht="16" x14ac:dyDescent="0.15">
      <c r="A110" s="4">
        <v>93</v>
      </c>
      <c r="B110" s="11">
        <v>2.4</v>
      </c>
      <c r="C110" s="6">
        <v>55</v>
      </c>
      <c r="D110">
        <v>74.7</v>
      </c>
      <c r="E110">
        <v>915</v>
      </c>
      <c r="F110">
        <f t="shared" ca="1" si="3"/>
        <v>0.62427295236422886</v>
      </c>
    </row>
    <row r="111" spans="1:6" x14ac:dyDescent="0.15">
      <c r="A111" s="4">
        <v>78</v>
      </c>
      <c r="B111" s="5">
        <v>1.27</v>
      </c>
      <c r="C111" s="6">
        <v>51</v>
      </c>
      <c r="D111" s="7">
        <v>64.3</v>
      </c>
      <c r="E111" s="6">
        <v>147</v>
      </c>
      <c r="F111">
        <f t="shared" ca="1" si="3"/>
        <v>0.59179130412560499</v>
      </c>
    </row>
    <row r="112" spans="1:6" x14ac:dyDescent="0.15">
      <c r="A112" s="4">
        <v>27</v>
      </c>
      <c r="B112" s="5">
        <v>3.5799998999999998</v>
      </c>
      <c r="C112" s="6">
        <v>52</v>
      </c>
      <c r="D112" s="7">
        <v>64</v>
      </c>
      <c r="E112" s="6">
        <v>94</v>
      </c>
      <c r="F112">
        <f t="shared" ca="1" si="3"/>
        <v>0.92135595944116588</v>
      </c>
    </row>
    <row r="113" spans="1:6" x14ac:dyDescent="0.15">
      <c r="A113" s="4">
        <v>64</v>
      </c>
      <c r="B113" s="5">
        <v>2.29</v>
      </c>
      <c r="C113" s="6">
        <v>65</v>
      </c>
      <c r="D113" s="7">
        <v>58.1</v>
      </c>
      <c r="E113" s="6">
        <v>195</v>
      </c>
      <c r="F113">
        <f t="shared" ca="1" si="3"/>
        <v>0.61621324204271521</v>
      </c>
    </row>
    <row r="114" spans="1:6" x14ac:dyDescent="0.15">
      <c r="A114" s="4">
        <v>12</v>
      </c>
      <c r="B114" s="5">
        <v>2.98</v>
      </c>
      <c r="C114" s="6">
        <v>60</v>
      </c>
      <c r="D114" s="7">
        <v>66.5</v>
      </c>
      <c r="E114" s="6">
        <v>600</v>
      </c>
      <c r="F114">
        <f t="shared" ca="1" si="3"/>
        <v>0.81084895292375025</v>
      </c>
    </row>
    <row r="115" spans="1:6" x14ac:dyDescent="0.15">
      <c r="A115" s="4">
        <v>14</v>
      </c>
      <c r="B115" s="5">
        <v>3.0699999</v>
      </c>
      <c r="C115" s="6">
        <v>62</v>
      </c>
      <c r="D115" s="7">
        <v>68.3</v>
      </c>
      <c r="E115" s="6">
        <v>562</v>
      </c>
      <c r="F115">
        <f t="shared" ca="1" si="3"/>
        <v>0.18832870896940657</v>
      </c>
    </row>
    <row r="116" spans="1:6" x14ac:dyDescent="0.15">
      <c r="A116" s="4">
        <v>19</v>
      </c>
      <c r="B116" s="5">
        <v>2.0799998999999998</v>
      </c>
      <c r="C116" s="6">
        <v>60</v>
      </c>
      <c r="D116" s="7">
        <v>66.400000000000006</v>
      </c>
      <c r="E116" s="6">
        <v>439</v>
      </c>
      <c r="F116">
        <f t="shared" ca="1" si="3"/>
        <v>0.26078029410377035</v>
      </c>
    </row>
    <row r="117" spans="1:6" x14ac:dyDescent="0.15">
      <c r="A117" s="4">
        <v>65</v>
      </c>
      <c r="B117" s="5">
        <v>2.1700001000000002</v>
      </c>
      <c r="C117" s="6">
        <v>60</v>
      </c>
      <c r="D117" s="7">
        <v>66.2</v>
      </c>
      <c r="E117" s="6">
        <v>962</v>
      </c>
      <c r="F117">
        <f t="shared" ca="1" si="3"/>
        <v>0.56687265060500314</v>
      </c>
    </row>
    <row r="118" spans="1:6" ht="16" x14ac:dyDescent="0.15">
      <c r="A118" s="4">
        <v>152</v>
      </c>
      <c r="B118" s="11">
        <v>3.29</v>
      </c>
      <c r="C118" s="6">
        <v>57</v>
      </c>
      <c r="D118">
        <v>79.5</v>
      </c>
      <c r="E118">
        <v>808</v>
      </c>
      <c r="F118">
        <f t="shared" ca="1" si="3"/>
        <v>0.61164259842779933</v>
      </c>
    </row>
    <row r="119" spans="1:6" ht="16" x14ac:dyDescent="0.15">
      <c r="A119" s="4">
        <v>105</v>
      </c>
      <c r="B119" s="11">
        <v>4.2</v>
      </c>
      <c r="C119" s="6">
        <v>61</v>
      </c>
      <c r="D119">
        <v>78.5</v>
      </c>
      <c r="E119">
        <v>457</v>
      </c>
      <c r="F119">
        <f t="shared" ca="1" si="3"/>
        <v>0.90669289100148787</v>
      </c>
    </row>
    <row r="120" spans="1:6" ht="16" x14ac:dyDescent="0.15">
      <c r="A120" s="4">
        <v>142</v>
      </c>
      <c r="B120" s="11">
        <v>1.53</v>
      </c>
      <c r="C120" s="6">
        <v>72</v>
      </c>
      <c r="D120">
        <v>74</v>
      </c>
      <c r="E120">
        <v>769</v>
      </c>
      <c r="F120">
        <f t="shared" ca="1" si="3"/>
        <v>0.35563550650813613</v>
      </c>
    </row>
    <row r="121" spans="1:6" x14ac:dyDescent="0.15">
      <c r="A121" s="4">
        <v>62</v>
      </c>
      <c r="B121" s="5">
        <v>1.48</v>
      </c>
      <c r="C121" s="6">
        <v>68</v>
      </c>
      <c r="D121" s="7">
        <v>70.2</v>
      </c>
      <c r="E121" s="6">
        <v>732</v>
      </c>
      <c r="F121">
        <f t="shared" ca="1" si="3"/>
        <v>8.9824275671039566E-2</v>
      </c>
    </row>
    <row r="122" spans="1:6" ht="16" x14ac:dyDescent="0.15">
      <c r="A122" s="4">
        <v>95</v>
      </c>
      <c r="B122" s="11">
        <v>1.4</v>
      </c>
      <c r="C122" s="6">
        <v>63</v>
      </c>
      <c r="D122">
        <v>72.2</v>
      </c>
      <c r="E122">
        <v>355</v>
      </c>
      <c r="F122">
        <f t="shared" ca="1" si="3"/>
        <v>0.17298710042681709</v>
      </c>
    </row>
    <row r="123" spans="1:6" ht="16" x14ac:dyDescent="0.15">
      <c r="A123" s="4">
        <v>149</v>
      </c>
      <c r="B123" s="11">
        <v>0.8</v>
      </c>
      <c r="C123" s="6">
        <v>66</v>
      </c>
      <c r="D123">
        <v>63.9</v>
      </c>
      <c r="E123">
        <v>133</v>
      </c>
      <c r="F123">
        <f t="shared" ca="1" si="3"/>
        <v>0.6453955979236059</v>
      </c>
    </row>
    <row r="124" spans="1:6" ht="16" x14ac:dyDescent="0.15">
      <c r="A124" s="4">
        <v>160</v>
      </c>
      <c r="B124" s="11">
        <v>1.49</v>
      </c>
      <c r="C124" s="6">
        <v>59</v>
      </c>
      <c r="D124">
        <v>67</v>
      </c>
      <c r="E124">
        <v>526</v>
      </c>
      <c r="F124">
        <f t="shared" ca="1" si="3"/>
        <v>0.69909245818288823</v>
      </c>
    </row>
    <row r="125" spans="1:6" ht="16" x14ac:dyDescent="0.15">
      <c r="A125" s="4">
        <v>124</v>
      </c>
      <c r="B125" s="11">
        <v>1.98</v>
      </c>
      <c r="C125" s="6">
        <v>73</v>
      </c>
      <c r="D125">
        <v>76.3</v>
      </c>
      <c r="E125">
        <v>1493</v>
      </c>
      <c r="F125">
        <f t="shared" ca="1" si="3"/>
        <v>0.7066261425605983</v>
      </c>
    </row>
    <row r="126" spans="1:6" ht="16" x14ac:dyDescent="0.15">
      <c r="A126" s="4">
        <v>125</v>
      </c>
      <c r="B126" s="11">
        <v>1.21</v>
      </c>
      <c r="C126" s="6">
        <v>78</v>
      </c>
      <c r="D126">
        <v>68.7</v>
      </c>
      <c r="E126">
        <v>286</v>
      </c>
      <c r="F126">
        <f t="shared" ca="1" si="3"/>
        <v>0.59783147896251576</v>
      </c>
    </row>
    <row r="127" spans="1:6" x14ac:dyDescent="0.15">
      <c r="A127" s="4">
        <v>26</v>
      </c>
      <c r="B127" s="5">
        <v>0.85</v>
      </c>
      <c r="C127" s="6">
        <v>64</v>
      </c>
      <c r="D127" s="7">
        <v>78.099999999999994</v>
      </c>
      <c r="E127" s="6">
        <v>194</v>
      </c>
      <c r="F127">
        <f t="shared" ca="1" si="3"/>
        <v>0.42476731954981772</v>
      </c>
    </row>
    <row r="128" spans="1:6" x14ac:dyDescent="0.15">
      <c r="A128" s="4">
        <v>53</v>
      </c>
      <c r="B128" s="5">
        <v>2.29</v>
      </c>
      <c r="C128" s="6">
        <v>56</v>
      </c>
      <c r="D128" s="7">
        <v>67.900000000000006</v>
      </c>
      <c r="E128" s="6">
        <v>946</v>
      </c>
      <c r="F128">
        <f t="shared" ca="1" si="3"/>
        <v>0.23080209889401559</v>
      </c>
    </row>
    <row r="129" spans="1:6" x14ac:dyDescent="0.15">
      <c r="A129" s="4">
        <v>32</v>
      </c>
      <c r="B129" s="5">
        <v>3.97</v>
      </c>
      <c r="C129" s="6">
        <v>68</v>
      </c>
      <c r="D129" s="7">
        <v>76.400000000000006</v>
      </c>
      <c r="E129" s="6">
        <v>1216</v>
      </c>
      <c r="F129">
        <f t="shared" ca="1" si="3"/>
        <v>0.61733458838398425</v>
      </c>
    </row>
    <row r="130" spans="1:6" x14ac:dyDescent="0.15">
      <c r="A130" s="4">
        <v>30</v>
      </c>
      <c r="B130" s="5">
        <v>2.3800001000000002</v>
      </c>
      <c r="C130" s="6">
        <v>74</v>
      </c>
      <c r="D130" s="7">
        <v>63.3</v>
      </c>
      <c r="E130" s="6">
        <v>502</v>
      </c>
      <c r="F130">
        <f t="shared" ref="F130:F161" ca="1" si="4">RAND()</f>
        <v>0.91163927070010309</v>
      </c>
    </row>
    <row r="131" spans="1:6" x14ac:dyDescent="0.15">
      <c r="A131" s="4">
        <v>77</v>
      </c>
      <c r="B131" s="5">
        <v>2.8599999</v>
      </c>
      <c r="C131" s="6">
        <v>63</v>
      </c>
      <c r="D131" s="7">
        <v>76.2</v>
      </c>
      <c r="E131" s="6">
        <v>546</v>
      </c>
      <c r="F131">
        <f t="shared" ca="1" si="4"/>
        <v>0.84824932449768153</v>
      </c>
    </row>
    <row r="132" spans="1:6" ht="16" x14ac:dyDescent="0.15">
      <c r="A132" s="4">
        <v>114</v>
      </c>
      <c r="B132" s="11">
        <v>2.73</v>
      </c>
      <c r="C132" s="6">
        <v>53</v>
      </c>
      <c r="D132">
        <v>76.8</v>
      </c>
      <c r="E132">
        <v>1299</v>
      </c>
      <c r="F132">
        <f t="shared" ca="1" si="4"/>
        <v>0.77031713072412966</v>
      </c>
    </row>
    <row r="133" spans="1:6" ht="16" x14ac:dyDescent="0.15">
      <c r="A133" s="4">
        <v>158</v>
      </c>
      <c r="B133" s="11">
        <v>1.35</v>
      </c>
      <c r="C133" s="6">
        <v>53</v>
      </c>
      <c r="D133">
        <v>67.900000000000006</v>
      </c>
      <c r="E133">
        <v>155</v>
      </c>
      <c r="F133">
        <f t="shared" ca="1" si="4"/>
        <v>0.39514760676462901</v>
      </c>
    </row>
    <row r="134" spans="1:6" ht="16" x14ac:dyDescent="0.15">
      <c r="A134" s="4">
        <v>108</v>
      </c>
      <c r="B134" s="11">
        <v>2.06</v>
      </c>
      <c r="C134" s="6">
        <v>64</v>
      </c>
      <c r="D134">
        <v>80.2</v>
      </c>
      <c r="E134">
        <v>639</v>
      </c>
      <c r="F134">
        <f t="shared" ca="1" si="4"/>
        <v>0.73164695771679022</v>
      </c>
    </row>
    <row r="135" spans="1:6" x14ac:dyDescent="0.15">
      <c r="A135" s="4">
        <v>57</v>
      </c>
      <c r="B135" s="5">
        <v>1.66</v>
      </c>
      <c r="C135" s="6">
        <v>68</v>
      </c>
      <c r="D135" s="7">
        <v>66.099999999999994</v>
      </c>
      <c r="E135" s="6">
        <v>229</v>
      </c>
      <c r="F135">
        <f t="shared" ca="1" si="4"/>
        <v>0.49100087329846509</v>
      </c>
    </row>
    <row r="136" spans="1:6" ht="16" x14ac:dyDescent="0.15">
      <c r="A136" s="4">
        <v>88</v>
      </c>
      <c r="B136" s="11">
        <v>2.1800000000000002</v>
      </c>
      <c r="C136" s="6">
        <v>58</v>
      </c>
      <c r="D136">
        <v>74.2</v>
      </c>
      <c r="E136">
        <v>360</v>
      </c>
      <c r="F136">
        <f t="shared" ca="1" si="4"/>
        <v>0.71825026791089641</v>
      </c>
    </row>
    <row r="137" spans="1:6" ht="16" x14ac:dyDescent="0.15">
      <c r="A137" s="4">
        <v>133</v>
      </c>
      <c r="B137" s="11">
        <v>2.41</v>
      </c>
      <c r="C137" s="6">
        <v>54</v>
      </c>
      <c r="D137">
        <v>71.5</v>
      </c>
      <c r="E137">
        <v>993</v>
      </c>
      <c r="F137">
        <f t="shared" ca="1" si="4"/>
        <v>0.44779716935069791</v>
      </c>
    </row>
    <row r="138" spans="1:6" x14ac:dyDescent="0.15">
      <c r="A138" s="4">
        <v>52</v>
      </c>
      <c r="B138" s="5">
        <v>1.54</v>
      </c>
      <c r="C138" s="6">
        <v>66</v>
      </c>
      <c r="D138" s="7">
        <v>63</v>
      </c>
      <c r="E138" s="6">
        <v>870</v>
      </c>
      <c r="F138">
        <f t="shared" ca="1" si="4"/>
        <v>0.71803529448886638</v>
      </c>
    </row>
    <row r="139" spans="1:6" ht="16" x14ac:dyDescent="0.15">
      <c r="A139" s="4">
        <v>109</v>
      </c>
      <c r="B139" s="11">
        <v>2.57</v>
      </c>
      <c r="C139" s="6">
        <v>43</v>
      </c>
      <c r="D139">
        <v>70</v>
      </c>
      <c r="E139">
        <v>192</v>
      </c>
      <c r="F139">
        <f t="shared" ca="1" si="4"/>
        <v>0.23499792794641217</v>
      </c>
    </row>
    <row r="140" spans="1:6" x14ac:dyDescent="0.15">
      <c r="A140" s="4">
        <v>8</v>
      </c>
      <c r="B140" s="5">
        <v>2.0799998999999998</v>
      </c>
      <c r="C140" s="6">
        <v>55</v>
      </c>
      <c r="D140" s="7">
        <v>70.099999999999994</v>
      </c>
      <c r="E140" s="6">
        <v>343</v>
      </c>
      <c r="F140">
        <f t="shared" ca="1" si="4"/>
        <v>2.0090972569634769E-2</v>
      </c>
    </row>
    <row r="141" spans="1:6" x14ac:dyDescent="0.15">
      <c r="A141" s="4">
        <v>45</v>
      </c>
      <c r="B141" s="5">
        <v>1.1499999999999999</v>
      </c>
      <c r="C141" s="6">
        <v>73</v>
      </c>
      <c r="D141" s="7">
        <v>65.5</v>
      </c>
      <c r="E141" s="6">
        <v>269</v>
      </c>
      <c r="F141">
        <f t="shared" ca="1" si="4"/>
        <v>0.34498712802253539</v>
      </c>
    </row>
    <row r="142" spans="1:6" ht="16" x14ac:dyDescent="0.15">
      <c r="A142" s="4">
        <v>111</v>
      </c>
      <c r="B142" s="11">
        <v>2.4500000000000002</v>
      </c>
      <c r="C142" s="6">
        <v>68</v>
      </c>
      <c r="D142">
        <v>76.900000000000006</v>
      </c>
      <c r="E142">
        <v>1241</v>
      </c>
      <c r="F142">
        <f t="shared" ca="1" si="4"/>
        <v>0.48827649195972045</v>
      </c>
    </row>
    <row r="143" spans="1:6" ht="16" x14ac:dyDescent="0.15">
      <c r="A143" s="4">
        <v>144</v>
      </c>
      <c r="B143" s="11">
        <v>2.38</v>
      </c>
      <c r="C143" s="6">
        <v>69</v>
      </c>
      <c r="D143">
        <v>61.8</v>
      </c>
      <c r="E143">
        <v>208</v>
      </c>
      <c r="F143">
        <f t="shared" ca="1" si="4"/>
        <v>0.23390454722478393</v>
      </c>
    </row>
    <row r="144" spans="1:6" ht="16" x14ac:dyDescent="0.15">
      <c r="A144" s="4">
        <v>154</v>
      </c>
      <c r="B144" s="11">
        <v>1.74</v>
      </c>
      <c r="C144" s="6">
        <v>73</v>
      </c>
      <c r="D144">
        <v>70.3</v>
      </c>
      <c r="E144">
        <v>389</v>
      </c>
      <c r="F144">
        <f t="shared" ca="1" si="4"/>
        <v>0.35491444504985425</v>
      </c>
    </row>
    <row r="145" spans="1:6" x14ac:dyDescent="0.15">
      <c r="A145" s="4">
        <v>16</v>
      </c>
      <c r="B145" s="5">
        <v>3.7</v>
      </c>
      <c r="C145" s="6">
        <v>76</v>
      </c>
      <c r="D145" s="7">
        <v>66.099999999999994</v>
      </c>
      <c r="E145" s="6">
        <v>296</v>
      </c>
      <c r="F145">
        <f t="shared" ca="1" si="4"/>
        <v>7.6357849222437602E-2</v>
      </c>
    </row>
    <row r="146" spans="1:6" x14ac:dyDescent="0.15">
      <c r="A146" s="4">
        <v>1</v>
      </c>
      <c r="B146" s="5">
        <v>2.1400001</v>
      </c>
      <c r="C146" s="6">
        <v>69</v>
      </c>
      <c r="D146" s="7">
        <v>66.400000000000006</v>
      </c>
      <c r="E146" s="6">
        <v>293</v>
      </c>
      <c r="F146">
        <f t="shared" ca="1" si="4"/>
        <v>0.21000363900986807</v>
      </c>
    </row>
    <row r="147" spans="1:6" ht="16" x14ac:dyDescent="0.15">
      <c r="A147" s="4">
        <v>155</v>
      </c>
      <c r="B147" s="11">
        <v>2.36</v>
      </c>
      <c r="C147" s="6">
        <v>54</v>
      </c>
      <c r="D147">
        <v>88</v>
      </c>
      <c r="E147">
        <v>807</v>
      </c>
      <c r="F147">
        <f t="shared" ca="1" si="4"/>
        <v>6.5974955017723547E-3</v>
      </c>
    </row>
    <row r="148" spans="1:6" ht="16" x14ac:dyDescent="0.15">
      <c r="A148" s="4">
        <v>137</v>
      </c>
      <c r="B148" s="11">
        <v>1.76</v>
      </c>
      <c r="C148" s="6">
        <v>72</v>
      </c>
      <c r="D148">
        <v>69.7</v>
      </c>
      <c r="E148">
        <v>240</v>
      </c>
      <c r="F148">
        <f t="shared" ca="1" si="4"/>
        <v>0.5426839135172935</v>
      </c>
    </row>
    <row r="149" spans="1:6" x14ac:dyDescent="0.15">
      <c r="A149" s="4">
        <v>34</v>
      </c>
      <c r="B149" s="5">
        <v>2.5899999</v>
      </c>
      <c r="C149" s="6">
        <v>50</v>
      </c>
      <c r="D149" s="7">
        <v>73.099999999999994</v>
      </c>
      <c r="E149" s="6">
        <v>1236</v>
      </c>
      <c r="F149">
        <f t="shared" ca="1" si="4"/>
        <v>0.7988619674186046</v>
      </c>
    </row>
    <row r="150" spans="1:6" ht="16" x14ac:dyDescent="0.15">
      <c r="A150" s="4">
        <v>123</v>
      </c>
      <c r="B150" s="11">
        <v>1.08</v>
      </c>
      <c r="C150" s="6">
        <v>53</v>
      </c>
      <c r="D150">
        <v>71.2</v>
      </c>
      <c r="E150">
        <v>179</v>
      </c>
      <c r="F150">
        <f t="shared" ca="1" si="4"/>
        <v>0.78402907323680382</v>
      </c>
    </row>
    <row r="151" spans="1:6" ht="16" x14ac:dyDescent="0.15">
      <c r="A151" s="4">
        <v>110</v>
      </c>
      <c r="B151" s="11">
        <v>2.4700000000000002</v>
      </c>
      <c r="C151" s="6">
        <v>78</v>
      </c>
      <c r="D151">
        <v>66.5</v>
      </c>
      <c r="E151">
        <v>527</v>
      </c>
      <c r="F151">
        <f t="shared" ca="1" si="4"/>
        <v>0.90809786989911356</v>
      </c>
    </row>
    <row r="152" spans="1:6" x14ac:dyDescent="0.15">
      <c r="A152" s="4">
        <v>33</v>
      </c>
      <c r="B152" s="5">
        <v>2.0799998999999998</v>
      </c>
      <c r="C152" s="6">
        <v>59</v>
      </c>
      <c r="D152" s="7">
        <v>65.3</v>
      </c>
      <c r="E152" s="6">
        <v>512</v>
      </c>
      <c r="F152">
        <f t="shared" ca="1" si="4"/>
        <v>0.1631839604538039</v>
      </c>
    </row>
    <row r="153" spans="1:6" x14ac:dyDescent="0.15">
      <c r="A153" s="4">
        <v>37</v>
      </c>
      <c r="B153" s="5">
        <v>1.66</v>
      </c>
      <c r="C153" s="6">
        <v>53</v>
      </c>
      <c r="D153" s="7">
        <v>80.099999999999994</v>
      </c>
      <c r="E153" s="6">
        <v>157</v>
      </c>
      <c r="F153">
        <f t="shared" ca="1" si="4"/>
        <v>0.50026553507337779</v>
      </c>
    </row>
    <row r="154" spans="1:6" ht="16" x14ac:dyDescent="0.15">
      <c r="A154" s="4">
        <v>94</v>
      </c>
      <c r="B154" s="11">
        <v>3.22</v>
      </c>
      <c r="C154" s="6">
        <v>65</v>
      </c>
      <c r="D154">
        <v>71.8</v>
      </c>
      <c r="E154">
        <v>590</v>
      </c>
      <c r="F154">
        <f t="shared" ca="1" si="4"/>
        <v>0.37548395993876182</v>
      </c>
    </row>
    <row r="155" spans="1:6" x14ac:dyDescent="0.15">
      <c r="A155" s="4">
        <v>21</v>
      </c>
      <c r="B155" s="5">
        <v>1.99</v>
      </c>
      <c r="C155" s="6">
        <v>63</v>
      </c>
      <c r="D155" s="7">
        <v>63.3</v>
      </c>
      <c r="E155" s="6">
        <v>379</v>
      </c>
      <c r="F155">
        <f t="shared" ca="1" si="4"/>
        <v>6.4542503536675233E-2</v>
      </c>
    </row>
    <row r="156" spans="1:6" x14ac:dyDescent="0.15">
      <c r="A156" s="4">
        <v>29</v>
      </c>
      <c r="B156" s="5">
        <v>2.4700000000000002</v>
      </c>
      <c r="C156" s="6">
        <v>42</v>
      </c>
      <c r="D156" s="7">
        <v>66.5</v>
      </c>
      <c r="E156" s="6">
        <v>183</v>
      </c>
      <c r="F156">
        <f t="shared" ca="1" si="4"/>
        <v>0.48859906089001626</v>
      </c>
    </row>
    <row r="157" spans="1:6" x14ac:dyDescent="0.15">
      <c r="A157" s="4">
        <v>35</v>
      </c>
      <c r="B157" s="5">
        <v>2.5599999000000002</v>
      </c>
      <c r="C157" s="6">
        <v>61</v>
      </c>
      <c r="D157" s="7">
        <v>76</v>
      </c>
      <c r="E157" s="6">
        <v>1247</v>
      </c>
      <c r="F157">
        <f t="shared" ca="1" si="4"/>
        <v>0.21805273698428629</v>
      </c>
    </row>
    <row r="158" spans="1:6" x14ac:dyDescent="0.15">
      <c r="A158" s="4">
        <v>3</v>
      </c>
      <c r="B158" s="5">
        <v>0.49</v>
      </c>
      <c r="C158" s="6">
        <v>59</v>
      </c>
      <c r="D158" s="7">
        <v>62.8</v>
      </c>
      <c r="E158" s="6">
        <v>356</v>
      </c>
      <c r="F158">
        <f t="shared" ca="1" si="4"/>
        <v>0.23314959911085353</v>
      </c>
    </row>
    <row r="159" spans="1:6" ht="16" x14ac:dyDescent="0.15">
      <c r="A159" s="4">
        <v>89</v>
      </c>
      <c r="B159" s="11">
        <v>1.96</v>
      </c>
      <c r="C159" s="6">
        <v>63</v>
      </c>
      <c r="D159">
        <v>63</v>
      </c>
      <c r="E159">
        <v>196</v>
      </c>
      <c r="F159">
        <f t="shared" ca="1" si="4"/>
        <v>0.82287852135060879</v>
      </c>
    </row>
    <row r="160" spans="1:6" ht="16" x14ac:dyDescent="0.15">
      <c r="A160" s="4">
        <v>151</v>
      </c>
      <c r="B160" s="11">
        <v>3.76</v>
      </c>
      <c r="C160" s="6">
        <v>57</v>
      </c>
      <c r="D160">
        <v>80.599999999999994</v>
      </c>
      <c r="E160">
        <v>1660</v>
      </c>
      <c r="F160">
        <f t="shared" ca="1" si="4"/>
        <v>0.29346581241960035</v>
      </c>
    </row>
    <row r="161" spans="1:6" ht="16" x14ac:dyDescent="0.15">
      <c r="A161" s="4">
        <v>126</v>
      </c>
      <c r="B161" s="11">
        <v>2.92</v>
      </c>
      <c r="C161" s="6">
        <v>71</v>
      </c>
      <c r="D161">
        <v>76.900000000000006</v>
      </c>
      <c r="E161">
        <v>558</v>
      </c>
      <c r="F161">
        <f t="shared" ca="1" si="4"/>
        <v>0.68197583784155269</v>
      </c>
    </row>
    <row r="162" spans="1:6" ht="16" x14ac:dyDescent="0.15">
      <c r="A162" s="4"/>
      <c r="B162" s="11"/>
    </row>
    <row r="163" spans="1:6" ht="16" x14ac:dyDescent="0.15">
      <c r="A163" s="4"/>
      <c r="B163" s="11"/>
    </row>
    <row r="164" spans="1:6" ht="16" x14ac:dyDescent="0.15">
      <c r="A164" s="4"/>
      <c r="B164" s="11"/>
    </row>
    <row r="165" spans="1:6" ht="16" x14ac:dyDescent="0.15">
      <c r="A165" s="4"/>
      <c r="B165" s="11"/>
    </row>
    <row r="166" spans="1:6" ht="16" x14ac:dyDescent="0.15">
      <c r="A166" s="4"/>
      <c r="B166" s="11"/>
    </row>
    <row r="167" spans="1:6" ht="16" x14ac:dyDescent="0.15">
      <c r="A167" s="4"/>
      <c r="B167" s="11"/>
    </row>
    <row r="168" spans="1:6" ht="16" x14ac:dyDescent="0.15">
      <c r="A168" s="4"/>
      <c r="B168" s="11"/>
    </row>
    <row r="169" spans="1:6" ht="16" x14ac:dyDescent="0.15">
      <c r="A169" s="4"/>
      <c r="B169" s="11"/>
    </row>
    <row r="170" spans="1:6" ht="16" x14ac:dyDescent="0.15">
      <c r="A170" s="4"/>
      <c r="B170" s="11"/>
    </row>
    <row r="171" spans="1:6" ht="16" x14ac:dyDescent="0.15">
      <c r="A171" s="4"/>
      <c r="B171" s="11"/>
    </row>
    <row r="172" spans="1:6" ht="16" x14ac:dyDescent="0.15">
      <c r="A172" s="4"/>
      <c r="B172" s="11"/>
    </row>
    <row r="173" spans="1:6" ht="16" x14ac:dyDescent="0.15">
      <c r="A173" s="4"/>
      <c r="B173" s="11"/>
    </row>
    <row r="174" spans="1:6" ht="16" x14ac:dyDescent="0.15">
      <c r="A174" s="4"/>
      <c r="B174" s="11"/>
    </row>
    <row r="175" spans="1:6" ht="16" x14ac:dyDescent="0.15">
      <c r="A175" s="4"/>
      <c r="B175" s="11"/>
    </row>
    <row r="176" spans="1:6" ht="16" x14ac:dyDescent="0.15">
      <c r="A176" s="4"/>
      <c r="B176" s="11"/>
    </row>
    <row r="177" spans="1:2" ht="16" x14ac:dyDescent="0.15">
      <c r="A177" s="4"/>
      <c r="B177" s="11"/>
    </row>
    <row r="178" spans="1:2" ht="16" x14ac:dyDescent="0.15">
      <c r="A178" s="4"/>
      <c r="B178" s="11"/>
    </row>
    <row r="179" spans="1:2" ht="16" x14ac:dyDescent="0.15">
      <c r="A179" s="4"/>
      <c r="B179" s="11"/>
    </row>
    <row r="180" spans="1:2" ht="16" x14ac:dyDescent="0.15">
      <c r="A180" s="4"/>
      <c r="B180" s="11"/>
    </row>
    <row r="181" spans="1:2" ht="16" x14ac:dyDescent="0.15">
      <c r="A181" s="4"/>
      <c r="B181" s="11"/>
    </row>
    <row r="182" spans="1:2" ht="16" x14ac:dyDescent="0.15">
      <c r="A182" s="4"/>
      <c r="B182" s="11"/>
    </row>
    <row r="183" spans="1:2" ht="16" x14ac:dyDescent="0.15">
      <c r="A183" s="4"/>
      <c r="B183" s="11"/>
    </row>
    <row r="184" spans="1:2" ht="16" x14ac:dyDescent="0.15">
      <c r="A184" s="4"/>
      <c r="B184" s="11"/>
    </row>
    <row r="185" spans="1:2" ht="16" x14ac:dyDescent="0.15">
      <c r="A185" s="4"/>
      <c r="B185" s="11"/>
    </row>
    <row r="186" spans="1:2" ht="16" x14ac:dyDescent="0.15">
      <c r="A186" s="4"/>
      <c r="B186" s="11"/>
    </row>
    <row r="187" spans="1:2" ht="16" x14ac:dyDescent="0.15">
      <c r="A187" s="4"/>
      <c r="B187" s="11"/>
    </row>
    <row r="188" spans="1:2" ht="16" x14ac:dyDescent="0.15">
      <c r="A188" s="4"/>
      <c r="B188" s="11"/>
    </row>
    <row r="189" spans="1:2" ht="16" x14ac:dyDescent="0.15">
      <c r="A189" s="4"/>
      <c r="B189" s="11"/>
    </row>
    <row r="190" spans="1:2" ht="16" x14ac:dyDescent="0.15">
      <c r="A190" s="4"/>
      <c r="B190" s="11"/>
    </row>
    <row r="191" spans="1:2" ht="16" x14ac:dyDescent="0.15">
      <c r="A191" s="4"/>
      <c r="B191" s="11"/>
    </row>
    <row r="192" spans="1:2" ht="16" x14ac:dyDescent="0.15">
      <c r="A192" s="4"/>
      <c r="B192" s="11"/>
    </row>
    <row r="193" spans="1:2" ht="16" x14ac:dyDescent="0.15">
      <c r="A193" s="4"/>
      <c r="B193" s="11"/>
    </row>
    <row r="194" spans="1:2" ht="16" x14ac:dyDescent="0.15">
      <c r="A194" s="4"/>
      <c r="B194" s="11"/>
    </row>
    <row r="195" spans="1:2" ht="16" x14ac:dyDescent="0.15">
      <c r="A195" s="4"/>
      <c r="B195" s="11"/>
    </row>
    <row r="196" spans="1:2" ht="16" x14ac:dyDescent="0.15">
      <c r="A196" s="4"/>
      <c r="B196" s="11"/>
    </row>
    <row r="197" spans="1:2" ht="16" x14ac:dyDescent="0.15">
      <c r="A197" s="4"/>
      <c r="B197" s="11"/>
    </row>
    <row r="198" spans="1:2" ht="16" x14ac:dyDescent="0.15">
      <c r="A198" s="4"/>
      <c r="B198" s="11"/>
    </row>
    <row r="199" spans="1:2" ht="16" x14ac:dyDescent="0.15">
      <c r="A199" s="4"/>
      <c r="B199" s="11"/>
    </row>
    <row r="200" spans="1:2" ht="16" x14ac:dyDescent="0.15">
      <c r="A200" s="4"/>
      <c r="B200" s="11"/>
    </row>
    <row r="201" spans="1:2" ht="16" x14ac:dyDescent="0.15">
      <c r="A201" s="4"/>
      <c r="B201" s="11"/>
    </row>
    <row r="202" spans="1:2" ht="16" x14ac:dyDescent="0.15">
      <c r="A202" s="4"/>
      <c r="B202" s="11"/>
    </row>
    <row r="203" spans="1:2" ht="16" x14ac:dyDescent="0.15">
      <c r="A203" s="4"/>
      <c r="B203" s="11"/>
    </row>
    <row r="204" spans="1:2" ht="16" x14ac:dyDescent="0.15">
      <c r="A204" s="4"/>
      <c r="B204" s="11"/>
    </row>
    <row r="205" spans="1:2" ht="16" x14ac:dyDescent="0.15">
      <c r="A205" s="4"/>
      <c r="B205" s="11"/>
    </row>
    <row r="206" spans="1:2" ht="16" x14ac:dyDescent="0.15">
      <c r="A206" s="4"/>
      <c r="B206" s="11"/>
    </row>
    <row r="207" spans="1:2" ht="16" x14ac:dyDescent="0.15">
      <c r="A207" s="4"/>
      <c r="B207" s="11"/>
    </row>
    <row r="208" spans="1:2" ht="16" x14ac:dyDescent="0.15">
      <c r="A208" s="4"/>
      <c r="B208" s="11"/>
    </row>
    <row r="209" spans="1:2" ht="16" x14ac:dyDescent="0.15">
      <c r="A209" s="4"/>
      <c r="B209" s="11"/>
    </row>
    <row r="210" spans="1:2" ht="16" x14ac:dyDescent="0.15">
      <c r="A210" s="4"/>
      <c r="B210" s="11"/>
    </row>
    <row r="211" spans="1:2" ht="16" x14ac:dyDescent="0.15">
      <c r="A211" s="4"/>
      <c r="B211" s="11"/>
    </row>
    <row r="212" spans="1:2" ht="16" x14ac:dyDescent="0.15">
      <c r="A212" s="4"/>
      <c r="B212" s="11"/>
    </row>
    <row r="213" spans="1:2" ht="16" x14ac:dyDescent="0.15">
      <c r="A213" s="4"/>
      <c r="B213" s="11"/>
    </row>
    <row r="214" spans="1:2" ht="16" x14ac:dyDescent="0.15">
      <c r="A214" s="4"/>
      <c r="B214" s="11"/>
    </row>
    <row r="215" spans="1:2" ht="16" x14ac:dyDescent="0.15">
      <c r="A215" s="4"/>
      <c r="B215" s="11"/>
    </row>
    <row r="216" spans="1:2" ht="16" x14ac:dyDescent="0.15">
      <c r="A216" s="4"/>
      <c r="B216" s="11"/>
    </row>
    <row r="217" spans="1:2" ht="16" x14ac:dyDescent="0.15">
      <c r="A217" s="4"/>
      <c r="B217" s="11"/>
    </row>
    <row r="218" spans="1:2" ht="16" x14ac:dyDescent="0.15">
      <c r="A218" s="4"/>
      <c r="B218" s="11"/>
    </row>
    <row r="219" spans="1:2" ht="16" x14ac:dyDescent="0.15">
      <c r="A219" s="4"/>
      <c r="B219" s="11"/>
    </row>
    <row r="220" spans="1:2" ht="16" x14ac:dyDescent="0.15">
      <c r="A220" s="4"/>
      <c r="B220" s="11"/>
    </row>
    <row r="221" spans="1:2" ht="16" x14ac:dyDescent="0.15">
      <c r="A221" s="4"/>
      <c r="B221" s="11"/>
    </row>
    <row r="222" spans="1:2" ht="16" x14ac:dyDescent="0.15">
      <c r="A222" s="4"/>
      <c r="B222" s="11"/>
    </row>
    <row r="223" spans="1:2" ht="16" x14ac:dyDescent="0.15">
      <c r="A223" s="4"/>
      <c r="B223" s="11"/>
    </row>
    <row r="224" spans="1:2" ht="16" x14ac:dyDescent="0.15">
      <c r="A224" s="4"/>
      <c r="B224" s="11"/>
    </row>
    <row r="225" spans="1:2" ht="16" x14ac:dyDescent="0.15">
      <c r="A225" s="4"/>
      <c r="B225" s="11"/>
    </row>
    <row r="226" spans="1:2" ht="16" x14ac:dyDescent="0.15">
      <c r="A226" s="4"/>
      <c r="B226" s="11"/>
    </row>
    <row r="227" spans="1:2" ht="16" x14ac:dyDescent="0.15">
      <c r="A227" s="4"/>
      <c r="B227" s="11"/>
    </row>
    <row r="228" spans="1:2" ht="16" x14ac:dyDescent="0.15">
      <c r="A228" s="4"/>
      <c r="B228" s="11"/>
    </row>
    <row r="229" spans="1:2" ht="16" x14ac:dyDescent="0.15">
      <c r="A229" s="4"/>
      <c r="B229" s="11"/>
    </row>
    <row r="230" spans="1:2" ht="16" x14ac:dyDescent="0.15">
      <c r="A230" s="4"/>
      <c r="B230" s="11"/>
    </row>
    <row r="231" spans="1:2" ht="16" x14ac:dyDescent="0.15">
      <c r="A231" s="4"/>
      <c r="B231" s="11"/>
    </row>
    <row r="232" spans="1:2" ht="16" x14ac:dyDescent="0.15">
      <c r="A232" s="4"/>
      <c r="B232" s="11"/>
    </row>
    <row r="233" spans="1:2" ht="16" x14ac:dyDescent="0.15">
      <c r="A233" s="4"/>
      <c r="B233" s="11"/>
    </row>
    <row r="234" spans="1:2" ht="16" x14ac:dyDescent="0.15">
      <c r="A234" s="4"/>
      <c r="B234" s="11"/>
    </row>
    <row r="235" spans="1:2" ht="16" x14ac:dyDescent="0.15">
      <c r="A235" s="4"/>
      <c r="B235" s="11"/>
    </row>
    <row r="236" spans="1:2" ht="16" x14ac:dyDescent="0.15">
      <c r="A236" s="4"/>
      <c r="B236" s="11"/>
    </row>
    <row r="237" spans="1:2" ht="16" x14ac:dyDescent="0.15">
      <c r="A237" s="4"/>
      <c r="B237" s="11"/>
    </row>
    <row r="238" spans="1:2" ht="16" x14ac:dyDescent="0.15">
      <c r="A238" s="4"/>
      <c r="B238" s="11"/>
    </row>
    <row r="239" spans="1:2" ht="16" x14ac:dyDescent="0.15">
      <c r="A239" s="4"/>
      <c r="B239" s="11"/>
    </row>
    <row r="240" spans="1:2" ht="16" x14ac:dyDescent="0.15">
      <c r="A240" s="4"/>
      <c r="B240" s="11"/>
    </row>
    <row r="241" spans="1:2" ht="16" x14ac:dyDescent="0.15">
      <c r="A241" s="4"/>
      <c r="B241" s="11"/>
    </row>
    <row r="242" spans="1:2" ht="16" x14ac:dyDescent="0.15">
      <c r="A242" s="4"/>
      <c r="B242" s="11"/>
    </row>
    <row r="243" spans="1:2" ht="16" x14ac:dyDescent="0.15">
      <c r="A243" s="4"/>
      <c r="B243" s="11"/>
    </row>
    <row r="244" spans="1:2" ht="16" x14ac:dyDescent="0.15">
      <c r="A244" s="4"/>
      <c r="B244" s="11"/>
    </row>
    <row r="245" spans="1:2" ht="16" x14ac:dyDescent="0.15">
      <c r="A245" s="4"/>
      <c r="B245" s="11"/>
    </row>
    <row r="246" spans="1:2" ht="16" x14ac:dyDescent="0.15">
      <c r="A246" s="4"/>
      <c r="B246" s="11"/>
    </row>
    <row r="247" spans="1:2" ht="16" x14ac:dyDescent="0.15">
      <c r="A247" s="4"/>
      <c r="B247" s="11"/>
    </row>
    <row r="248" spans="1:2" ht="16" x14ac:dyDescent="0.15">
      <c r="A248" s="4"/>
      <c r="B248" s="11"/>
    </row>
    <row r="249" spans="1:2" ht="16" x14ac:dyDescent="0.15">
      <c r="A249" s="4"/>
      <c r="B249" s="11"/>
    </row>
  </sheetData>
  <sortState xmlns:xlrd2="http://schemas.microsoft.com/office/spreadsheetml/2017/richdata2" ref="A2:F161">
    <sortCondition ref="F2:F161"/>
  </sortState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99F6-F3A8-7644-A5CC-19B8A29B8AA0}">
  <dimension ref="A1:I25"/>
  <sheetViews>
    <sheetView workbookViewId="0">
      <selection activeCell="D25" sqref="D25"/>
    </sheetView>
  </sheetViews>
  <sheetFormatPr baseColWidth="10" defaultRowHeight="13" x14ac:dyDescent="0.15"/>
  <cols>
    <col min="4" max="4" width="12.33203125" bestFit="1" customWidth="1"/>
  </cols>
  <sheetData>
    <row r="1" spans="1:9" x14ac:dyDescent="0.15">
      <c r="A1" s="35" t="s">
        <v>6</v>
      </c>
      <c r="B1" s="35"/>
      <c r="C1" s="35"/>
      <c r="D1" s="35"/>
      <c r="E1" s="35"/>
      <c r="F1" s="35"/>
      <c r="G1" s="35"/>
      <c r="H1" s="35"/>
      <c r="I1" s="35"/>
    </row>
    <row r="2" spans="1:9" ht="14" thickBot="1" x14ac:dyDescent="0.2">
      <c r="A2" s="35"/>
      <c r="B2" s="35"/>
      <c r="C2" s="35"/>
      <c r="D2" s="35"/>
      <c r="E2" s="35"/>
      <c r="F2" s="35"/>
      <c r="G2" s="35"/>
      <c r="H2" s="35"/>
      <c r="I2" s="35"/>
    </row>
    <row r="3" spans="1:9" x14ac:dyDescent="0.15">
      <c r="A3" s="36" t="s">
        <v>7</v>
      </c>
      <c r="B3" s="36"/>
      <c r="C3" s="35"/>
      <c r="D3" s="35"/>
      <c r="E3" s="35"/>
      <c r="F3" s="35"/>
      <c r="G3" s="35"/>
      <c r="H3" s="35"/>
      <c r="I3" s="35"/>
    </row>
    <row r="4" spans="1:9" x14ac:dyDescent="0.15">
      <c r="A4" s="35" t="s">
        <v>8</v>
      </c>
      <c r="B4" s="35">
        <v>0.60123961517634206</v>
      </c>
      <c r="C4" s="35"/>
      <c r="D4" s="35"/>
      <c r="E4" s="35"/>
      <c r="F4" s="35"/>
      <c r="G4" s="35"/>
      <c r="H4" s="35"/>
      <c r="I4" s="35"/>
    </row>
    <row r="5" spans="1:9" x14ac:dyDescent="0.15">
      <c r="A5" s="35" t="s">
        <v>9</v>
      </c>
      <c r="B5" s="35">
        <v>0.3614890748573959</v>
      </c>
      <c r="C5" s="35"/>
      <c r="D5" s="35"/>
      <c r="E5" s="35"/>
      <c r="F5" s="35"/>
      <c r="G5" s="35"/>
      <c r="H5" s="35"/>
      <c r="I5" s="35"/>
    </row>
    <row r="6" spans="1:9" x14ac:dyDescent="0.15">
      <c r="A6" s="35" t="s">
        <v>10</v>
      </c>
      <c r="B6" s="35">
        <v>0.33628469623334573</v>
      </c>
      <c r="C6" s="35"/>
      <c r="D6" s="35"/>
      <c r="E6" s="35"/>
      <c r="F6" s="35"/>
      <c r="G6" s="35"/>
      <c r="H6" s="35"/>
      <c r="I6" s="35"/>
    </row>
    <row r="7" spans="1:9" x14ac:dyDescent="0.15">
      <c r="A7" s="35" t="s">
        <v>11</v>
      </c>
      <c r="B7" s="35">
        <v>363.52011233989447</v>
      </c>
      <c r="C7" s="35"/>
      <c r="D7" s="35"/>
      <c r="E7" s="35"/>
      <c r="F7" s="35"/>
      <c r="G7" s="35"/>
      <c r="H7" s="35"/>
      <c r="I7" s="35"/>
    </row>
    <row r="8" spans="1:9" ht="14" thickBot="1" x14ac:dyDescent="0.2">
      <c r="A8" s="37" t="s">
        <v>12</v>
      </c>
      <c r="B8" s="37">
        <v>80</v>
      </c>
      <c r="C8" s="35"/>
      <c r="D8" s="35"/>
      <c r="E8" s="35"/>
      <c r="F8" s="35"/>
      <c r="G8" s="35"/>
      <c r="H8" s="35"/>
      <c r="I8" s="35"/>
    </row>
    <row r="9" spans="1:9" x14ac:dyDescent="0.15">
      <c r="A9" s="35"/>
      <c r="B9" s="35"/>
      <c r="C9" s="35"/>
      <c r="D9" s="35"/>
      <c r="E9" s="35"/>
      <c r="F9" s="35"/>
      <c r="G9" s="35"/>
      <c r="H9" s="35"/>
      <c r="I9" s="35"/>
    </row>
    <row r="10" spans="1:9" ht="14" thickBot="1" x14ac:dyDescent="0.2">
      <c r="A10" s="35" t="s">
        <v>13</v>
      </c>
      <c r="B10" s="35"/>
      <c r="C10" s="35"/>
      <c r="D10" s="35"/>
      <c r="E10" s="35"/>
      <c r="F10" s="35"/>
      <c r="G10" s="35"/>
      <c r="H10" s="35"/>
      <c r="I10" s="35"/>
    </row>
    <row r="11" spans="1:9" x14ac:dyDescent="0.15">
      <c r="A11" s="38"/>
      <c r="B11" s="38" t="s">
        <v>18</v>
      </c>
      <c r="C11" s="38" t="s">
        <v>19</v>
      </c>
      <c r="D11" s="38" t="s">
        <v>20</v>
      </c>
      <c r="E11" s="38" t="s">
        <v>21</v>
      </c>
      <c r="F11" s="38" t="s">
        <v>22</v>
      </c>
      <c r="G11" s="35"/>
      <c r="H11" s="35"/>
      <c r="I11" s="35"/>
    </row>
    <row r="12" spans="1:9" x14ac:dyDescent="0.15">
      <c r="A12" s="35" t="s">
        <v>14</v>
      </c>
      <c r="B12" s="35">
        <v>3</v>
      </c>
      <c r="C12" s="35">
        <v>5685875.2097536717</v>
      </c>
      <c r="D12" s="35">
        <v>1895291.7365845572</v>
      </c>
      <c r="E12" s="35">
        <v>14.342312510432649</v>
      </c>
      <c r="F12" s="35">
        <v>1.7043734875515237E-7</v>
      </c>
      <c r="G12" s="35"/>
      <c r="H12" s="35"/>
      <c r="I12" s="35"/>
    </row>
    <row r="13" spans="1:9" x14ac:dyDescent="0.15">
      <c r="A13" s="35" t="s">
        <v>15</v>
      </c>
      <c r="B13" s="35">
        <v>76</v>
      </c>
      <c r="C13" s="35">
        <v>10043162.277746323</v>
      </c>
      <c r="D13" s="35">
        <v>132146.87207560951</v>
      </c>
      <c r="E13" s="35"/>
      <c r="F13" s="35"/>
      <c r="G13" s="35"/>
      <c r="H13" s="35"/>
      <c r="I13" s="35"/>
    </row>
    <row r="14" spans="1:9" ht="14" thickBot="1" x14ac:dyDescent="0.2">
      <c r="A14" s="37" t="s">
        <v>16</v>
      </c>
      <c r="B14" s="37">
        <v>79</v>
      </c>
      <c r="C14" s="37">
        <v>15729037.487499995</v>
      </c>
      <c r="D14" s="37"/>
      <c r="E14" s="37"/>
      <c r="F14" s="37"/>
      <c r="G14" s="35"/>
      <c r="H14" s="35"/>
      <c r="I14" s="35"/>
    </row>
    <row r="15" spans="1:9" ht="14" thickBot="1" x14ac:dyDescent="0.2">
      <c r="A15" s="35"/>
      <c r="B15" s="35"/>
      <c r="C15" s="35"/>
      <c r="D15" s="35"/>
      <c r="E15" s="35"/>
      <c r="F15" s="35"/>
      <c r="G15" s="35"/>
      <c r="H15" s="35"/>
      <c r="I15" s="35"/>
    </row>
    <row r="16" spans="1:9" x14ac:dyDescent="0.15">
      <c r="A16" s="38"/>
      <c r="B16" s="38" t="s">
        <v>23</v>
      </c>
      <c r="C16" s="38" t="s">
        <v>11</v>
      </c>
      <c r="D16" s="38" t="s">
        <v>24</v>
      </c>
      <c r="E16" s="38" t="s">
        <v>25</v>
      </c>
      <c r="F16" s="38" t="s">
        <v>26</v>
      </c>
      <c r="G16" s="38" t="s">
        <v>27</v>
      </c>
      <c r="H16" s="38" t="s">
        <v>38</v>
      </c>
      <c r="I16" s="38" t="s">
        <v>39</v>
      </c>
    </row>
    <row r="17" spans="1:9" x14ac:dyDescent="0.15">
      <c r="A17" s="35" t="s">
        <v>17</v>
      </c>
      <c r="B17" s="35">
        <v>-1036.9514733814769</v>
      </c>
      <c r="C17" s="35">
        <v>557.46971619503563</v>
      </c>
      <c r="D17" s="35">
        <v>-1.8601036850200674</v>
      </c>
      <c r="E17" s="35">
        <v>6.673994214410886E-2</v>
      </c>
      <c r="F17" s="35">
        <v>-2147.2486378335125</v>
      </c>
      <c r="G17" s="35">
        <v>73.345691070558743</v>
      </c>
      <c r="H17" s="35">
        <v>-1965.2229257857714</v>
      </c>
      <c r="I17" s="35">
        <v>-108.68002097718258</v>
      </c>
    </row>
    <row r="18" spans="1:9" x14ac:dyDescent="0.15">
      <c r="A18" s="35" t="s">
        <v>1</v>
      </c>
      <c r="B18" s="35">
        <v>9.4967450292045079</v>
      </c>
      <c r="C18" s="35">
        <v>40.25284419123296</v>
      </c>
      <c r="D18" s="35">
        <v>0.23592730451759958</v>
      </c>
      <c r="E18" s="35">
        <v>0.81412371909947112</v>
      </c>
      <c r="F18" s="35">
        <v>-70.673742206768409</v>
      </c>
      <c r="G18" s="35">
        <v>89.667232265177432</v>
      </c>
      <c r="H18" s="35">
        <v>-57.530332954215339</v>
      </c>
      <c r="I18" s="35">
        <v>76.523823012624362</v>
      </c>
    </row>
    <row r="19" spans="1:9" x14ac:dyDescent="0.15">
      <c r="A19" s="35" t="s">
        <v>2</v>
      </c>
      <c r="B19" s="35">
        <v>-8.1235169858930458</v>
      </c>
      <c r="C19" s="35">
        <v>4.9819175836234644</v>
      </c>
      <c r="D19" s="35">
        <v>-1.6306004363855058</v>
      </c>
      <c r="E19" s="35">
        <v>0.10711233096960091</v>
      </c>
      <c r="F19" s="35">
        <v>-18.045865780703021</v>
      </c>
      <c r="G19" s="35">
        <v>1.798831808916928</v>
      </c>
      <c r="H19" s="35">
        <v>-16.419163792814302</v>
      </c>
      <c r="I19" s="35">
        <v>0.17212982102820978</v>
      </c>
    </row>
    <row r="20" spans="1:9" ht="14" thickBot="1" x14ac:dyDescent="0.2">
      <c r="A20" s="37" t="s">
        <v>3</v>
      </c>
      <c r="B20" s="37">
        <v>29.115349078852603</v>
      </c>
      <c r="C20" s="37">
        <v>5.8022797224845677</v>
      </c>
      <c r="D20" s="37">
        <v>5.0179154524431047</v>
      </c>
      <c r="E20" s="37">
        <v>3.3425211514704641E-6</v>
      </c>
      <c r="F20" s="37">
        <v>17.559107482083459</v>
      </c>
      <c r="G20" s="37">
        <v>40.671590675621744</v>
      </c>
      <c r="H20" s="37">
        <v>19.453675146124812</v>
      </c>
      <c r="I20" s="37">
        <v>38.777023011580397</v>
      </c>
    </row>
    <row r="21" spans="1:9" x14ac:dyDescent="0.15">
      <c r="A21" s="35"/>
      <c r="B21" s="35"/>
      <c r="C21" s="35"/>
      <c r="D21" s="35"/>
      <c r="E21" s="35"/>
      <c r="F21" s="35"/>
      <c r="G21" s="35"/>
      <c r="H21" s="35"/>
      <c r="I21" s="35"/>
    </row>
    <row r="25" spans="1:9" x14ac:dyDescent="0.15">
      <c r="D25" s="41">
        <f>E20</f>
        <v>3.3425211514704641E-6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DCA5-6C06-ED42-912F-91C643A4B860}">
  <dimension ref="A1:D5"/>
  <sheetViews>
    <sheetView workbookViewId="0">
      <selection activeCell="H1" sqref="H1"/>
    </sheetView>
  </sheetViews>
  <sheetFormatPr baseColWidth="10" defaultRowHeight="13" x14ac:dyDescent="0.15"/>
  <sheetData>
    <row r="1" spans="1:4" x14ac:dyDescent="0.15">
      <c r="A1" s="20"/>
      <c r="B1" s="20" t="s">
        <v>49</v>
      </c>
      <c r="C1" s="20" t="s">
        <v>50</v>
      </c>
      <c r="D1" s="20"/>
    </row>
    <row r="2" spans="1:4" x14ac:dyDescent="0.15">
      <c r="A2" s="20" t="s">
        <v>48</v>
      </c>
      <c r="B2" s="20">
        <v>0.33842889999999998</v>
      </c>
      <c r="C2" s="42" t="s">
        <v>51</v>
      </c>
      <c r="D2" s="20"/>
    </row>
    <row r="3" spans="1:4" x14ac:dyDescent="0.15">
      <c r="A3" s="20" t="s">
        <v>52</v>
      </c>
      <c r="B3" s="20">
        <v>0.34755807</v>
      </c>
      <c r="C3" s="20" t="s">
        <v>53</v>
      </c>
      <c r="D3" s="20"/>
    </row>
    <row r="4" spans="1:4" x14ac:dyDescent="0.15">
      <c r="A4" s="20" t="s">
        <v>54</v>
      </c>
      <c r="B4" s="20">
        <v>0.32987664</v>
      </c>
      <c r="C4" s="20" t="s">
        <v>51</v>
      </c>
      <c r="D4" s="20"/>
    </row>
    <row r="5" spans="1:4" x14ac:dyDescent="0.15">
      <c r="A5" s="20" t="s">
        <v>55</v>
      </c>
      <c r="B5" s="20">
        <v>0.36148907000000002</v>
      </c>
      <c r="C5" s="20" t="s">
        <v>56</v>
      </c>
      <c r="D5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953B-5C1F-0F43-9234-B14F7BC8E1A8}">
  <dimension ref="A1:E82"/>
  <sheetViews>
    <sheetView workbookViewId="0">
      <selection activeCell="F94" sqref="F94"/>
    </sheetView>
  </sheetViews>
  <sheetFormatPr baseColWidth="10" defaultRowHeight="13" x14ac:dyDescent="0.15"/>
  <sheetData>
    <row r="1" spans="1:5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" x14ac:dyDescent="0.15">
      <c r="A2" s="4">
        <v>146</v>
      </c>
      <c r="B2" s="11">
        <v>5.25</v>
      </c>
      <c r="C2" s="6">
        <v>47</v>
      </c>
      <c r="D2">
        <v>88.8</v>
      </c>
      <c r="E2">
        <v>1012</v>
      </c>
    </row>
    <row r="3" spans="1:5" ht="16" x14ac:dyDescent="0.15">
      <c r="A3" s="4">
        <v>128</v>
      </c>
      <c r="B3" s="11">
        <v>2.72</v>
      </c>
      <c r="C3" s="6">
        <v>84</v>
      </c>
      <c r="D3">
        <v>64.599999999999994</v>
      </c>
      <c r="E3">
        <v>247</v>
      </c>
    </row>
    <row r="4" spans="1:5" ht="16" x14ac:dyDescent="0.15">
      <c r="A4" s="4">
        <v>139</v>
      </c>
      <c r="B4" s="11">
        <v>1.61</v>
      </c>
      <c r="C4" s="6">
        <v>69</v>
      </c>
      <c r="D4">
        <v>58.6</v>
      </c>
      <c r="E4">
        <v>235</v>
      </c>
    </row>
    <row r="5" spans="1:5" x14ac:dyDescent="0.15">
      <c r="A5" s="4">
        <v>55</v>
      </c>
      <c r="B5" s="5">
        <v>2.74</v>
      </c>
      <c r="C5" s="6">
        <v>64</v>
      </c>
      <c r="D5" s="7">
        <v>57.1</v>
      </c>
      <c r="E5" s="6">
        <v>79</v>
      </c>
    </row>
    <row r="6" spans="1:5" ht="16" x14ac:dyDescent="0.15">
      <c r="A6" s="4">
        <v>82</v>
      </c>
      <c r="B6" s="11">
        <v>1.21</v>
      </c>
      <c r="C6" s="6">
        <v>64</v>
      </c>
      <c r="D6">
        <v>77.400000000000006</v>
      </c>
      <c r="E6">
        <v>123</v>
      </c>
    </row>
    <row r="7" spans="1:5" x14ac:dyDescent="0.15">
      <c r="A7" s="4">
        <v>36</v>
      </c>
      <c r="B7" s="5">
        <v>0.91</v>
      </c>
      <c r="C7" s="6">
        <v>72</v>
      </c>
      <c r="D7" s="7">
        <v>57.8</v>
      </c>
      <c r="E7" s="6">
        <v>65</v>
      </c>
    </row>
    <row r="8" spans="1:5" ht="16" x14ac:dyDescent="0.15">
      <c r="A8" s="4">
        <v>92</v>
      </c>
      <c r="B8" s="11">
        <v>3.08</v>
      </c>
      <c r="C8" s="6">
        <v>63</v>
      </c>
      <c r="D8">
        <v>70</v>
      </c>
      <c r="E8">
        <v>630</v>
      </c>
    </row>
    <row r="9" spans="1:5" x14ac:dyDescent="0.15">
      <c r="A9" s="4">
        <v>80</v>
      </c>
      <c r="B9" s="5">
        <v>1.42</v>
      </c>
      <c r="C9" s="6">
        <v>57</v>
      </c>
      <c r="D9" s="7">
        <v>63.8</v>
      </c>
      <c r="E9" s="6">
        <v>501</v>
      </c>
    </row>
    <row r="10" spans="1:5" ht="16" x14ac:dyDescent="0.15">
      <c r="A10" s="4">
        <v>122</v>
      </c>
      <c r="B10" s="11">
        <v>2.76</v>
      </c>
      <c r="C10" s="6">
        <v>57</v>
      </c>
      <c r="D10">
        <v>78.5</v>
      </c>
      <c r="E10">
        <v>200</v>
      </c>
    </row>
    <row r="11" spans="1:5" x14ac:dyDescent="0.15">
      <c r="A11" s="4">
        <v>4</v>
      </c>
      <c r="B11" s="5">
        <v>1.78</v>
      </c>
      <c r="C11" s="6">
        <v>50</v>
      </c>
      <c r="D11" s="7">
        <v>69.7</v>
      </c>
      <c r="E11" s="6">
        <v>579</v>
      </c>
    </row>
    <row r="12" spans="1:5" ht="16" x14ac:dyDescent="0.15">
      <c r="A12" s="4">
        <v>120</v>
      </c>
      <c r="B12" s="11">
        <v>1.1200000000000001</v>
      </c>
      <c r="C12" s="6">
        <v>60</v>
      </c>
      <c r="D12">
        <v>67.599999999999994</v>
      </c>
      <c r="E12">
        <v>511</v>
      </c>
    </row>
    <row r="13" spans="1:5" ht="16" x14ac:dyDescent="0.15">
      <c r="A13" s="4">
        <v>100</v>
      </c>
      <c r="B13" s="11">
        <v>3.6</v>
      </c>
      <c r="C13" s="6">
        <v>68</v>
      </c>
      <c r="D13">
        <v>76.3</v>
      </c>
      <c r="E13">
        <v>587</v>
      </c>
    </row>
    <row r="14" spans="1:5" ht="16" x14ac:dyDescent="0.15">
      <c r="A14" s="4">
        <v>101</v>
      </c>
      <c r="B14" s="11">
        <v>2.2000000000000002</v>
      </c>
      <c r="C14" s="6">
        <v>63</v>
      </c>
      <c r="D14">
        <v>66.5</v>
      </c>
      <c r="E14">
        <v>399</v>
      </c>
    </row>
    <row r="15" spans="1:5" x14ac:dyDescent="0.15">
      <c r="A15" s="4">
        <v>48</v>
      </c>
      <c r="B15" s="5">
        <v>2.5599999000000002</v>
      </c>
      <c r="C15" s="6">
        <v>80</v>
      </c>
      <c r="D15" s="7">
        <v>61.9</v>
      </c>
      <c r="E15" s="6">
        <v>235</v>
      </c>
    </row>
    <row r="16" spans="1:5" ht="16" x14ac:dyDescent="0.15">
      <c r="A16" s="4">
        <v>150</v>
      </c>
      <c r="B16" s="11">
        <v>3.39</v>
      </c>
      <c r="C16" s="6">
        <v>59</v>
      </c>
      <c r="D16">
        <v>85.3</v>
      </c>
      <c r="E16">
        <v>1867</v>
      </c>
    </row>
    <row r="17" spans="1:5" ht="16" x14ac:dyDescent="0.15">
      <c r="A17" s="4">
        <v>121</v>
      </c>
      <c r="B17" s="11">
        <v>2.1</v>
      </c>
      <c r="C17" s="6">
        <v>62</v>
      </c>
      <c r="D17">
        <v>71.099999999999994</v>
      </c>
      <c r="E17">
        <v>230</v>
      </c>
    </row>
    <row r="18" spans="1:5" x14ac:dyDescent="0.15">
      <c r="A18" s="4">
        <v>50</v>
      </c>
      <c r="B18" s="5">
        <v>1.87</v>
      </c>
      <c r="C18" s="6">
        <v>59</v>
      </c>
      <c r="D18" s="7">
        <v>58.1</v>
      </c>
      <c r="E18" s="6">
        <v>88</v>
      </c>
    </row>
    <row r="19" spans="1:5" ht="16" x14ac:dyDescent="0.15">
      <c r="A19" s="4">
        <v>86</v>
      </c>
      <c r="B19" s="11">
        <v>0.93</v>
      </c>
      <c r="C19" s="6">
        <v>66</v>
      </c>
      <c r="D19">
        <v>63.1</v>
      </c>
      <c r="E19">
        <v>162</v>
      </c>
    </row>
    <row r="20" spans="1:5" x14ac:dyDescent="0.15">
      <c r="A20" s="4">
        <v>70</v>
      </c>
      <c r="B20" s="5">
        <v>3.1900000999999998</v>
      </c>
      <c r="C20" s="6">
        <v>55</v>
      </c>
      <c r="D20" s="7">
        <v>80.900000000000006</v>
      </c>
      <c r="E20" s="6">
        <v>1766</v>
      </c>
    </row>
    <row r="21" spans="1:5" x14ac:dyDescent="0.15">
      <c r="A21" s="4">
        <v>38</v>
      </c>
      <c r="B21" s="5">
        <v>1.96</v>
      </c>
      <c r="C21" s="6">
        <v>64</v>
      </c>
      <c r="D21" s="7">
        <v>66.599999999999994</v>
      </c>
      <c r="E21" s="6">
        <v>423</v>
      </c>
    </row>
    <row r="22" spans="1:5" ht="16" x14ac:dyDescent="0.15">
      <c r="A22" s="4">
        <v>147</v>
      </c>
      <c r="B22" s="11">
        <v>3.46</v>
      </c>
      <c r="C22" s="6">
        <v>57</v>
      </c>
      <c r="D22">
        <v>86</v>
      </c>
      <c r="E22">
        <v>959</v>
      </c>
    </row>
    <row r="23" spans="1:5" x14ac:dyDescent="0.15">
      <c r="A23" s="4">
        <v>10</v>
      </c>
      <c r="B23" s="5">
        <v>2.29</v>
      </c>
      <c r="C23" s="6">
        <v>64</v>
      </c>
      <c r="D23" s="7">
        <v>65.599999999999994</v>
      </c>
      <c r="E23" s="6">
        <v>65</v>
      </c>
    </row>
    <row r="24" spans="1:5" ht="16" x14ac:dyDescent="0.15">
      <c r="A24" s="4">
        <v>135</v>
      </c>
      <c r="B24" s="11">
        <v>3.05</v>
      </c>
      <c r="C24" s="6">
        <v>63</v>
      </c>
      <c r="D24">
        <v>54.5</v>
      </c>
      <c r="E24">
        <v>83</v>
      </c>
    </row>
    <row r="25" spans="1:5" x14ac:dyDescent="0.15">
      <c r="A25" s="4">
        <v>79</v>
      </c>
      <c r="B25" s="5">
        <v>1.72</v>
      </c>
      <c r="C25" s="6">
        <v>55</v>
      </c>
      <c r="D25" s="7">
        <v>71.3</v>
      </c>
      <c r="E25" s="6">
        <v>148</v>
      </c>
    </row>
    <row r="26" spans="1:5" ht="16" x14ac:dyDescent="0.15">
      <c r="A26" s="4">
        <v>96</v>
      </c>
      <c r="B26" s="11">
        <v>4</v>
      </c>
      <c r="C26" s="6">
        <v>80</v>
      </c>
      <c r="D26">
        <v>69.400000000000006</v>
      </c>
      <c r="E26">
        <v>315</v>
      </c>
    </row>
    <row r="27" spans="1:5" ht="16" x14ac:dyDescent="0.15">
      <c r="A27" s="4">
        <v>115</v>
      </c>
      <c r="B27" s="11">
        <v>2.71</v>
      </c>
      <c r="C27" s="6">
        <v>64</v>
      </c>
      <c r="D27">
        <v>79.599999999999994</v>
      </c>
      <c r="E27">
        <v>1309</v>
      </c>
    </row>
    <row r="28" spans="1:5" x14ac:dyDescent="0.15">
      <c r="A28" s="4">
        <v>13</v>
      </c>
      <c r="B28" s="5">
        <v>2.3199999</v>
      </c>
      <c r="C28" s="6">
        <v>58</v>
      </c>
      <c r="D28" s="7">
        <v>71</v>
      </c>
      <c r="E28" s="6">
        <v>871</v>
      </c>
    </row>
    <row r="29" spans="1:5" x14ac:dyDescent="0.15">
      <c r="A29" s="4">
        <v>69</v>
      </c>
      <c r="B29" s="5">
        <v>0.76</v>
      </c>
      <c r="C29" s="6">
        <v>63</v>
      </c>
      <c r="D29" s="7">
        <v>60.4</v>
      </c>
      <c r="E29" s="6">
        <v>127</v>
      </c>
    </row>
    <row r="30" spans="1:5" x14ac:dyDescent="0.15">
      <c r="A30" s="4">
        <v>54</v>
      </c>
      <c r="B30" s="5">
        <v>4.7199998000000001</v>
      </c>
      <c r="C30" s="6">
        <v>65</v>
      </c>
      <c r="D30" s="7">
        <v>65.8</v>
      </c>
      <c r="E30" s="6">
        <v>422</v>
      </c>
    </row>
    <row r="31" spans="1:5" ht="16" x14ac:dyDescent="0.15">
      <c r="A31" s="4">
        <v>153</v>
      </c>
      <c r="B31" s="11">
        <v>1.51</v>
      </c>
      <c r="C31" s="6">
        <v>53</v>
      </c>
      <c r="D31">
        <v>71.900000000000006</v>
      </c>
      <c r="E31">
        <v>430</v>
      </c>
    </row>
    <row r="32" spans="1:5" x14ac:dyDescent="0.15">
      <c r="A32" s="4">
        <v>22</v>
      </c>
      <c r="B32" s="5">
        <v>1.24</v>
      </c>
      <c r="C32" s="6">
        <v>61</v>
      </c>
      <c r="D32" s="7">
        <v>72.599999999999994</v>
      </c>
      <c r="E32" s="6">
        <v>453</v>
      </c>
    </row>
    <row r="33" spans="1:5" ht="16" x14ac:dyDescent="0.15">
      <c r="A33" s="4">
        <v>157</v>
      </c>
      <c r="B33" s="11">
        <v>3.03</v>
      </c>
      <c r="C33" s="6">
        <v>63</v>
      </c>
      <c r="D33">
        <v>79</v>
      </c>
      <c r="E33">
        <v>573</v>
      </c>
    </row>
    <row r="34" spans="1:5" ht="16" x14ac:dyDescent="0.15">
      <c r="A34" s="4">
        <v>84</v>
      </c>
      <c r="B34" s="11">
        <v>1.87</v>
      </c>
      <c r="C34" s="6">
        <v>53</v>
      </c>
      <c r="D34">
        <v>73.2</v>
      </c>
      <c r="E34">
        <v>609</v>
      </c>
    </row>
    <row r="35" spans="1:5" x14ac:dyDescent="0.15">
      <c r="A35" s="4">
        <v>75</v>
      </c>
      <c r="B35" s="5">
        <v>2.23</v>
      </c>
      <c r="C35" s="6">
        <v>53</v>
      </c>
      <c r="D35" s="7">
        <v>83.6</v>
      </c>
      <c r="E35" s="6">
        <v>769</v>
      </c>
    </row>
    <row r="36" spans="1:5" x14ac:dyDescent="0.15">
      <c r="A36" s="4">
        <v>74</v>
      </c>
      <c r="B36" s="5">
        <v>1.5700000999999999</v>
      </c>
      <c r="C36" s="6">
        <v>70</v>
      </c>
      <c r="D36" s="7">
        <v>66.8</v>
      </c>
      <c r="E36" s="6">
        <v>370</v>
      </c>
    </row>
    <row r="37" spans="1:5" ht="16" x14ac:dyDescent="0.15">
      <c r="A37" s="4">
        <v>136</v>
      </c>
      <c r="B37" s="11">
        <v>4.7699999999999996</v>
      </c>
      <c r="C37" s="6">
        <v>63</v>
      </c>
      <c r="D37">
        <v>79.099999999999994</v>
      </c>
      <c r="E37">
        <v>412</v>
      </c>
    </row>
    <row r="38" spans="1:5" x14ac:dyDescent="0.15">
      <c r="A38" s="4">
        <v>9</v>
      </c>
      <c r="B38" s="5">
        <v>1.87</v>
      </c>
      <c r="C38" s="6">
        <v>60</v>
      </c>
      <c r="D38" s="7">
        <v>60</v>
      </c>
      <c r="E38" s="6">
        <v>186</v>
      </c>
    </row>
    <row r="39" spans="1:5" ht="16" x14ac:dyDescent="0.15">
      <c r="A39" s="4">
        <v>106</v>
      </c>
      <c r="B39" s="11">
        <v>0.89</v>
      </c>
      <c r="C39" s="6">
        <v>67</v>
      </c>
      <c r="D39">
        <v>82</v>
      </c>
      <c r="E39">
        <v>204</v>
      </c>
    </row>
    <row r="40" spans="1:5" ht="16" x14ac:dyDescent="0.15">
      <c r="A40" s="4">
        <v>107</v>
      </c>
      <c r="B40" s="11">
        <v>3.78</v>
      </c>
      <c r="C40" s="6">
        <v>55</v>
      </c>
      <c r="D40">
        <v>67.2</v>
      </c>
      <c r="E40">
        <v>98</v>
      </c>
    </row>
    <row r="41" spans="1:5" x14ac:dyDescent="0.15">
      <c r="A41" s="4">
        <v>18</v>
      </c>
      <c r="B41" s="5">
        <v>2.74</v>
      </c>
      <c r="C41" s="6">
        <v>62</v>
      </c>
      <c r="D41" s="7">
        <v>60.9</v>
      </c>
      <c r="E41" s="6">
        <v>252</v>
      </c>
    </row>
    <row r="42" spans="1:5" x14ac:dyDescent="0.15">
      <c r="A42" s="4">
        <v>5</v>
      </c>
      <c r="B42" s="5">
        <v>1</v>
      </c>
      <c r="C42" s="6">
        <v>70</v>
      </c>
      <c r="D42" s="7">
        <v>69.5</v>
      </c>
      <c r="E42" s="6">
        <v>400</v>
      </c>
    </row>
    <row r="43" spans="1:5" ht="16" x14ac:dyDescent="0.15">
      <c r="A43" s="4">
        <v>81</v>
      </c>
      <c r="B43" s="11">
        <v>2.25</v>
      </c>
      <c r="C43" s="6">
        <v>72</v>
      </c>
      <c r="D43">
        <v>69.7</v>
      </c>
      <c r="E43">
        <v>308</v>
      </c>
    </row>
    <row r="44" spans="1:5" ht="16" x14ac:dyDescent="0.15">
      <c r="A44" s="4">
        <v>90</v>
      </c>
      <c r="B44" s="11">
        <v>2.39</v>
      </c>
      <c r="C44" s="6">
        <v>67</v>
      </c>
      <c r="D44">
        <v>69.2</v>
      </c>
      <c r="E44">
        <v>68</v>
      </c>
    </row>
    <row r="45" spans="1:5" x14ac:dyDescent="0.15">
      <c r="A45" s="4">
        <v>47</v>
      </c>
      <c r="B45" s="5">
        <v>3.76</v>
      </c>
      <c r="C45" s="6">
        <v>45</v>
      </c>
      <c r="D45" s="7">
        <v>78.7</v>
      </c>
      <c r="E45" s="6">
        <v>421</v>
      </c>
    </row>
    <row r="46" spans="1:5" x14ac:dyDescent="0.15">
      <c r="A46" s="4">
        <v>7</v>
      </c>
      <c r="B46" s="5">
        <v>1.24</v>
      </c>
      <c r="C46" s="6">
        <v>70</v>
      </c>
      <c r="D46" s="7">
        <v>76.400000000000006</v>
      </c>
      <c r="E46" s="6">
        <v>1234</v>
      </c>
    </row>
    <row r="47" spans="1:5" x14ac:dyDescent="0.15">
      <c r="A47" s="4">
        <v>63</v>
      </c>
      <c r="B47" s="5">
        <v>2.02</v>
      </c>
      <c r="C47" s="6">
        <v>64</v>
      </c>
      <c r="D47" s="7">
        <v>62.2</v>
      </c>
      <c r="E47" s="6">
        <v>189</v>
      </c>
    </row>
    <row r="48" spans="1:5" x14ac:dyDescent="0.15">
      <c r="A48" s="4">
        <v>56</v>
      </c>
      <c r="B48" s="5">
        <v>4.54</v>
      </c>
      <c r="C48" s="6">
        <v>64</v>
      </c>
      <c r="D48" s="7">
        <v>74.7</v>
      </c>
      <c r="E48" s="6">
        <v>393</v>
      </c>
    </row>
    <row r="49" spans="1:5" ht="16" x14ac:dyDescent="0.15">
      <c r="A49" s="4">
        <v>132</v>
      </c>
      <c r="B49" s="11">
        <v>1.61</v>
      </c>
      <c r="C49" s="6">
        <v>69</v>
      </c>
      <c r="D49">
        <v>66.2</v>
      </c>
      <c r="E49">
        <v>914</v>
      </c>
    </row>
    <row r="50" spans="1:5" x14ac:dyDescent="0.15">
      <c r="A50" s="4">
        <v>42</v>
      </c>
      <c r="B50" s="5">
        <v>2.6199998999999998</v>
      </c>
      <c r="C50" s="6">
        <v>59</v>
      </c>
      <c r="D50" s="7">
        <v>74.599999999999994</v>
      </c>
      <c r="E50" s="6">
        <v>190</v>
      </c>
    </row>
    <row r="51" spans="1:5" x14ac:dyDescent="0.15">
      <c r="A51" s="4">
        <v>60</v>
      </c>
      <c r="B51" s="5">
        <v>1.0900000000000001</v>
      </c>
      <c r="C51" s="6">
        <v>70</v>
      </c>
      <c r="D51" s="7">
        <v>60.9</v>
      </c>
      <c r="E51" s="6">
        <v>573</v>
      </c>
    </row>
    <row r="52" spans="1:5" ht="16" x14ac:dyDescent="0.15">
      <c r="A52" s="4">
        <v>134</v>
      </c>
      <c r="B52" s="11">
        <v>5.01</v>
      </c>
      <c r="C52" s="6">
        <v>71</v>
      </c>
      <c r="D52">
        <v>69.7</v>
      </c>
      <c r="E52">
        <v>442</v>
      </c>
    </row>
    <row r="53" spans="1:5" x14ac:dyDescent="0.15">
      <c r="A53" s="4">
        <v>67</v>
      </c>
      <c r="B53" s="5">
        <v>3.28</v>
      </c>
      <c r="C53" s="6">
        <v>54</v>
      </c>
      <c r="D53" s="7">
        <v>81.599999999999994</v>
      </c>
      <c r="E53" s="6">
        <v>921</v>
      </c>
    </row>
    <row r="54" spans="1:5" ht="16" x14ac:dyDescent="0.15">
      <c r="A54" s="4">
        <v>140</v>
      </c>
      <c r="B54" s="11">
        <v>1.1499999999999999</v>
      </c>
      <c r="C54" s="6">
        <v>73</v>
      </c>
      <c r="D54">
        <v>64.8</v>
      </c>
      <c r="E54">
        <v>602</v>
      </c>
    </row>
    <row r="55" spans="1:5" x14ac:dyDescent="0.15">
      <c r="A55" s="4">
        <v>73</v>
      </c>
      <c r="B55" s="5">
        <v>1.36</v>
      </c>
      <c r="C55" s="6">
        <v>50</v>
      </c>
      <c r="D55" s="7">
        <v>68.099999999999994</v>
      </c>
      <c r="E55" s="6">
        <v>408</v>
      </c>
    </row>
    <row r="56" spans="1:5" x14ac:dyDescent="0.15">
      <c r="A56" s="4">
        <v>39</v>
      </c>
      <c r="B56" s="5">
        <v>2.1099999</v>
      </c>
      <c r="C56" s="6">
        <v>54</v>
      </c>
      <c r="D56" s="7">
        <v>59.8</v>
      </c>
      <c r="E56" s="6">
        <v>429</v>
      </c>
    </row>
    <row r="57" spans="1:5" x14ac:dyDescent="0.15">
      <c r="A57" s="4">
        <v>49</v>
      </c>
      <c r="B57" s="5">
        <v>1.9</v>
      </c>
      <c r="C57" s="6">
        <v>37</v>
      </c>
      <c r="D57" s="7">
        <v>85.6</v>
      </c>
      <c r="E57" s="6">
        <v>1866</v>
      </c>
    </row>
    <row r="58" spans="1:5" x14ac:dyDescent="0.15">
      <c r="A58" s="4">
        <v>28</v>
      </c>
      <c r="B58" s="5">
        <v>1.96</v>
      </c>
      <c r="C58" s="6">
        <v>61</v>
      </c>
      <c r="D58" s="7">
        <v>76</v>
      </c>
      <c r="E58" s="6">
        <v>609</v>
      </c>
    </row>
    <row r="59" spans="1:5" x14ac:dyDescent="0.15">
      <c r="A59" s="4">
        <v>25</v>
      </c>
      <c r="B59" s="5">
        <v>4</v>
      </c>
      <c r="C59" s="6">
        <v>58</v>
      </c>
      <c r="D59" s="7">
        <v>74.8</v>
      </c>
      <c r="E59" s="6">
        <v>435</v>
      </c>
    </row>
    <row r="60" spans="1:5" x14ac:dyDescent="0.15">
      <c r="A60" s="4">
        <v>51</v>
      </c>
      <c r="B60" s="5">
        <v>4.4499997999999996</v>
      </c>
      <c r="C60" s="6">
        <v>55</v>
      </c>
      <c r="D60" s="7">
        <v>75.599999999999994</v>
      </c>
      <c r="E60" s="6">
        <v>1833</v>
      </c>
    </row>
    <row r="61" spans="1:5" x14ac:dyDescent="0.15">
      <c r="A61" s="4">
        <v>59</v>
      </c>
      <c r="B61" s="5">
        <v>1.54</v>
      </c>
      <c r="C61" s="6">
        <v>66</v>
      </c>
      <c r="D61" s="7">
        <v>55.2</v>
      </c>
      <c r="E61" s="6">
        <v>224</v>
      </c>
    </row>
    <row r="62" spans="1:5" x14ac:dyDescent="0.15">
      <c r="A62" s="4">
        <v>68</v>
      </c>
      <c r="B62" s="5">
        <v>2.6199998999999998</v>
      </c>
      <c r="C62" s="6">
        <v>79</v>
      </c>
      <c r="D62" s="7">
        <v>76.7</v>
      </c>
      <c r="E62" s="6">
        <v>214</v>
      </c>
    </row>
    <row r="63" spans="1:5" x14ac:dyDescent="0.15">
      <c r="A63" s="4">
        <v>72</v>
      </c>
      <c r="B63" s="5">
        <v>3.04</v>
      </c>
      <c r="C63" s="6">
        <v>57</v>
      </c>
      <c r="D63" s="7">
        <v>79.2</v>
      </c>
      <c r="E63" s="6">
        <v>764</v>
      </c>
    </row>
    <row r="64" spans="1:5" x14ac:dyDescent="0.15">
      <c r="A64" s="4">
        <v>20</v>
      </c>
      <c r="B64" s="5">
        <v>3.4300001</v>
      </c>
      <c r="C64" s="6">
        <v>65</v>
      </c>
      <c r="D64" s="7">
        <v>72.2</v>
      </c>
      <c r="E64" s="6">
        <v>558</v>
      </c>
    </row>
    <row r="65" spans="1:5" ht="16" x14ac:dyDescent="0.15">
      <c r="A65" s="4">
        <v>83</v>
      </c>
      <c r="B65" s="11">
        <v>0.52</v>
      </c>
      <c r="C65" s="6">
        <v>62</v>
      </c>
      <c r="D65">
        <v>65.900000000000006</v>
      </c>
      <c r="E65">
        <v>375</v>
      </c>
    </row>
    <row r="66" spans="1:5" ht="16" x14ac:dyDescent="0.15">
      <c r="A66" s="4">
        <v>85</v>
      </c>
      <c r="B66" s="11">
        <v>1.05</v>
      </c>
      <c r="C66" s="6">
        <v>74</v>
      </c>
      <c r="D66">
        <v>73</v>
      </c>
      <c r="E66">
        <v>420</v>
      </c>
    </row>
    <row r="67" spans="1:5" x14ac:dyDescent="0.15">
      <c r="A67" s="4">
        <v>6</v>
      </c>
      <c r="B67" s="5">
        <v>0.88</v>
      </c>
      <c r="C67" s="6">
        <v>63</v>
      </c>
      <c r="D67" s="7">
        <v>60.1</v>
      </c>
      <c r="E67" s="6">
        <v>154</v>
      </c>
    </row>
    <row r="68" spans="1:5" x14ac:dyDescent="0.15">
      <c r="A68" s="4">
        <v>17</v>
      </c>
      <c r="B68" s="5">
        <v>1.99</v>
      </c>
      <c r="C68" s="6">
        <v>54</v>
      </c>
      <c r="D68" s="7">
        <v>56.4</v>
      </c>
      <c r="E68" s="6">
        <v>126</v>
      </c>
    </row>
    <row r="69" spans="1:5" x14ac:dyDescent="0.15">
      <c r="A69" s="4">
        <v>58</v>
      </c>
      <c r="B69" s="5">
        <v>3.0699999</v>
      </c>
      <c r="C69" s="6">
        <v>57</v>
      </c>
      <c r="D69" s="7">
        <v>68.5</v>
      </c>
      <c r="E69" s="6">
        <v>316</v>
      </c>
    </row>
    <row r="70" spans="1:5" ht="16" x14ac:dyDescent="0.15">
      <c r="A70" s="4">
        <v>130</v>
      </c>
      <c r="B70" s="11">
        <v>1.96</v>
      </c>
      <c r="C70" s="6">
        <v>59</v>
      </c>
      <c r="D70">
        <v>61</v>
      </c>
      <c r="E70">
        <v>92</v>
      </c>
    </row>
    <row r="71" spans="1:5" ht="16" x14ac:dyDescent="0.15">
      <c r="A71" s="4">
        <v>99</v>
      </c>
      <c r="B71" s="11">
        <v>2.2000000000000002</v>
      </c>
      <c r="C71" s="6">
        <v>63</v>
      </c>
      <c r="D71">
        <v>70.400000000000006</v>
      </c>
      <c r="E71">
        <v>462</v>
      </c>
    </row>
    <row r="72" spans="1:5" x14ac:dyDescent="0.15">
      <c r="A72" s="4">
        <v>31</v>
      </c>
      <c r="B72" s="5">
        <v>2.3499998999999998</v>
      </c>
      <c r="C72" s="6">
        <v>66</v>
      </c>
      <c r="D72" s="7">
        <v>72.599999999999994</v>
      </c>
      <c r="E72" s="6">
        <v>1182</v>
      </c>
    </row>
    <row r="73" spans="1:5" x14ac:dyDescent="0.15">
      <c r="A73" s="4">
        <v>66</v>
      </c>
      <c r="B73" s="5">
        <v>4.9000000999999997</v>
      </c>
      <c r="C73" s="6">
        <v>45</v>
      </c>
      <c r="D73" s="7">
        <v>84.1</v>
      </c>
      <c r="E73" s="6">
        <v>964</v>
      </c>
    </row>
    <row r="74" spans="1:5" ht="16" x14ac:dyDescent="0.15">
      <c r="A74" s="4">
        <v>138</v>
      </c>
      <c r="B74" s="11">
        <v>3.17</v>
      </c>
      <c r="C74" s="6">
        <v>59</v>
      </c>
      <c r="D74">
        <v>72.400000000000006</v>
      </c>
      <c r="E74">
        <v>332</v>
      </c>
    </row>
    <row r="75" spans="1:5" x14ac:dyDescent="0.15">
      <c r="A75" s="4">
        <v>44</v>
      </c>
      <c r="B75" s="5">
        <v>1.87</v>
      </c>
      <c r="C75" s="6">
        <v>69</v>
      </c>
      <c r="D75" s="7">
        <v>72.7</v>
      </c>
      <c r="E75" s="6">
        <v>1422</v>
      </c>
    </row>
    <row r="76" spans="1:5" x14ac:dyDescent="0.15">
      <c r="A76" s="4">
        <v>71</v>
      </c>
      <c r="B76" s="5">
        <v>3.52</v>
      </c>
      <c r="C76" s="6">
        <v>54</v>
      </c>
      <c r="D76" s="7">
        <v>74.8</v>
      </c>
      <c r="E76" s="6">
        <v>1576</v>
      </c>
    </row>
    <row r="77" spans="1:5" ht="16" x14ac:dyDescent="0.15">
      <c r="A77" s="4">
        <v>113</v>
      </c>
      <c r="B77" s="11">
        <v>2.1800000000000002</v>
      </c>
      <c r="C77" s="6">
        <v>60</v>
      </c>
      <c r="D77">
        <v>68.599999999999994</v>
      </c>
      <c r="E77">
        <v>538</v>
      </c>
    </row>
    <row r="78" spans="1:5" x14ac:dyDescent="0.15">
      <c r="A78" s="4">
        <v>46</v>
      </c>
      <c r="B78" s="5">
        <v>2.77</v>
      </c>
      <c r="C78" s="6">
        <v>68</v>
      </c>
      <c r="D78" s="7">
        <v>72.400000000000006</v>
      </c>
      <c r="E78" s="6">
        <v>531</v>
      </c>
    </row>
    <row r="79" spans="1:5" x14ac:dyDescent="0.15">
      <c r="A79" s="4">
        <v>15</v>
      </c>
      <c r="B79" s="5">
        <v>1.33</v>
      </c>
      <c r="C79" s="6">
        <v>59</v>
      </c>
      <c r="D79" s="7">
        <v>68.7</v>
      </c>
      <c r="E79" s="6">
        <v>337</v>
      </c>
    </row>
    <row r="80" spans="1:5" ht="16" x14ac:dyDescent="0.15">
      <c r="A80" s="4">
        <v>91</v>
      </c>
      <c r="B80" s="11">
        <v>3.17</v>
      </c>
      <c r="C80" s="6">
        <v>74</v>
      </c>
      <c r="D80">
        <v>70</v>
      </c>
      <c r="E80">
        <v>827</v>
      </c>
    </row>
    <row r="81" spans="1:5" ht="16" x14ac:dyDescent="0.15">
      <c r="A81" s="4">
        <v>148</v>
      </c>
      <c r="B81" s="11">
        <v>2.74</v>
      </c>
      <c r="C81" s="6">
        <v>84</v>
      </c>
      <c r="D81">
        <v>80.5</v>
      </c>
      <c r="E81">
        <v>226</v>
      </c>
    </row>
    <row r="82" spans="1:5" ht="16" x14ac:dyDescent="0.15">
      <c r="A82" s="4"/>
      <c r="B82" s="11"/>
      <c r="C82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17A5-649E-3747-8B74-A2C3D407B8AA}">
  <dimension ref="A1:I18"/>
  <sheetViews>
    <sheetView workbookViewId="0">
      <selection sqref="A1:I21"/>
    </sheetView>
  </sheetViews>
  <sheetFormatPr baseColWidth="10" defaultRowHeight="13" x14ac:dyDescent="0.15"/>
  <sheetData>
    <row r="1" spans="1:9" x14ac:dyDescent="0.15">
      <c r="A1" t="s">
        <v>6</v>
      </c>
    </row>
    <row r="2" spans="1:9" ht="14" thickBot="1" x14ac:dyDescent="0.2"/>
    <row r="3" spans="1:9" x14ac:dyDescent="0.15">
      <c r="A3" s="15" t="s">
        <v>7</v>
      </c>
      <c r="B3" s="15"/>
    </row>
    <row r="4" spans="1:9" x14ac:dyDescent="0.15">
      <c r="A4" t="s">
        <v>8</v>
      </c>
      <c r="B4">
        <v>0.27010219952217962</v>
      </c>
    </row>
    <row r="5" spans="1:9" x14ac:dyDescent="0.15">
      <c r="A5" t="s">
        <v>9</v>
      </c>
      <c r="B5">
        <v>7.2955198186719319E-2</v>
      </c>
    </row>
    <row r="6" spans="1:9" x14ac:dyDescent="0.15">
      <c r="A6" t="s">
        <v>10</v>
      </c>
      <c r="B6">
        <v>6.1070008419882388E-2</v>
      </c>
    </row>
    <row r="7" spans="1:9" x14ac:dyDescent="0.15">
      <c r="A7" t="s">
        <v>11</v>
      </c>
      <c r="B7">
        <v>432.36858742122956</v>
      </c>
    </row>
    <row r="8" spans="1:9" ht="14" thickBot="1" x14ac:dyDescent="0.2">
      <c r="A8" s="13" t="s">
        <v>12</v>
      </c>
      <c r="B8" s="13">
        <v>80</v>
      </c>
    </row>
    <row r="10" spans="1:9" ht="14" thickBot="1" x14ac:dyDescent="0.2">
      <c r="A10" t="s">
        <v>13</v>
      </c>
    </row>
    <row r="11" spans="1:9" x14ac:dyDescent="0.15">
      <c r="A11" s="14"/>
      <c r="B11" s="14" t="s">
        <v>18</v>
      </c>
      <c r="C11" s="14" t="s">
        <v>19</v>
      </c>
      <c r="D11" s="14" t="s">
        <v>20</v>
      </c>
      <c r="E11" s="14" t="s">
        <v>21</v>
      </c>
      <c r="F11" s="14" t="s">
        <v>22</v>
      </c>
    </row>
    <row r="12" spans="1:9" x14ac:dyDescent="0.15">
      <c r="A12" t="s">
        <v>14</v>
      </c>
      <c r="B12">
        <v>1</v>
      </c>
      <c r="C12">
        <v>1147515.0471868999</v>
      </c>
      <c r="D12">
        <v>1147515.0471868999</v>
      </c>
      <c r="E12">
        <v>6.1383284253723183</v>
      </c>
      <c r="F12">
        <v>1.5390132861241686E-2</v>
      </c>
    </row>
    <row r="13" spans="1:9" x14ac:dyDescent="0.15">
      <c r="A13" t="s">
        <v>15</v>
      </c>
      <c r="B13">
        <v>78</v>
      </c>
      <c r="C13">
        <v>14581522.440313095</v>
      </c>
      <c r="D13">
        <v>186942.59538862942</v>
      </c>
    </row>
    <row r="14" spans="1:9" ht="14" thickBot="1" x14ac:dyDescent="0.2">
      <c r="A14" s="13" t="s">
        <v>16</v>
      </c>
      <c r="B14" s="13">
        <v>79</v>
      </c>
      <c r="C14" s="13">
        <v>15729037.487499995</v>
      </c>
      <c r="D14" s="13"/>
      <c r="E14" s="13"/>
      <c r="F14" s="13"/>
    </row>
    <row r="15" spans="1:9" ht="14" thickBot="1" x14ac:dyDescent="0.2"/>
    <row r="16" spans="1:9" x14ac:dyDescent="0.15">
      <c r="A16" s="14"/>
      <c r="B16" s="14" t="s">
        <v>23</v>
      </c>
      <c r="C16" s="14" t="s">
        <v>11</v>
      </c>
      <c r="D16" s="14" t="s">
        <v>24</v>
      </c>
      <c r="E16" s="14" t="s">
        <v>25</v>
      </c>
      <c r="F16" s="14" t="s">
        <v>26</v>
      </c>
      <c r="G16" s="14" t="s">
        <v>27</v>
      </c>
      <c r="H16" s="14" t="s">
        <v>28</v>
      </c>
      <c r="I16" s="14" t="s">
        <v>29</v>
      </c>
    </row>
    <row r="17" spans="1:9" x14ac:dyDescent="0.15">
      <c r="A17" t="s">
        <v>17</v>
      </c>
      <c r="B17">
        <v>268.9981407373071</v>
      </c>
      <c r="C17">
        <v>116.22416035519389</v>
      </c>
      <c r="D17">
        <v>2.3144769548364041</v>
      </c>
      <c r="E17">
        <v>2.3273836024512135E-2</v>
      </c>
      <c r="F17">
        <v>37.613611769069294</v>
      </c>
      <c r="G17">
        <v>500.38266970554491</v>
      </c>
      <c r="H17">
        <v>37.613611769069294</v>
      </c>
      <c r="I17">
        <v>500.38266970554491</v>
      </c>
    </row>
    <row r="18" spans="1:9" ht="14" thickBot="1" x14ac:dyDescent="0.2">
      <c r="A18" s="13" t="s">
        <v>1</v>
      </c>
      <c r="B18" s="13">
        <v>107.44806247635751</v>
      </c>
      <c r="C18" s="13">
        <v>43.368412790322118</v>
      </c>
      <c r="D18" s="13">
        <v>2.4775650194035945</v>
      </c>
      <c r="E18" s="13">
        <v>1.5390132861241515E-2</v>
      </c>
      <c r="F18" s="13">
        <v>21.108184993729228</v>
      </c>
      <c r="G18" s="13">
        <v>193.78793995898579</v>
      </c>
      <c r="H18" s="13">
        <v>21.108184993729228</v>
      </c>
      <c r="I18" s="13">
        <v>193.78793995898579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08B9-D7A7-E447-88FF-D6EFC27FEA3C}">
  <dimension ref="A1:G81"/>
  <sheetViews>
    <sheetView workbookViewId="0">
      <selection activeCell="I76" sqref="I76"/>
    </sheetView>
  </sheetViews>
  <sheetFormatPr baseColWidth="10" defaultRowHeight="13" x14ac:dyDescent="0.15"/>
  <cols>
    <col min="4" max="4" width="12.6640625" bestFit="1" customWidth="1"/>
  </cols>
  <sheetData>
    <row r="1" spans="1:5" x14ac:dyDescent="0.15">
      <c r="A1" s="12" t="s">
        <v>1</v>
      </c>
      <c r="B1" s="12" t="s">
        <v>4</v>
      </c>
      <c r="C1" s="16" t="s">
        <v>30</v>
      </c>
      <c r="D1" s="18" t="s">
        <v>30</v>
      </c>
      <c r="E1" s="12"/>
    </row>
    <row r="2" spans="1:5" ht="16" x14ac:dyDescent="0.15">
      <c r="A2" s="11">
        <v>5.25</v>
      </c>
      <c r="B2">
        <v>1012</v>
      </c>
      <c r="C2" s="17">
        <f>A2*1000</f>
        <v>5250</v>
      </c>
      <c r="D2" s="19">
        <f>B2*1000</f>
        <v>1012000</v>
      </c>
    </row>
    <row r="3" spans="1:5" ht="16" x14ac:dyDescent="0.15">
      <c r="A3" s="11">
        <v>2.72</v>
      </c>
      <c r="B3">
        <v>247</v>
      </c>
      <c r="C3" s="17">
        <f t="shared" ref="C3:C66" si="0">A3*1000</f>
        <v>2720</v>
      </c>
      <c r="D3" s="19">
        <f t="shared" ref="D3:D66" si="1">B3*1000</f>
        <v>247000</v>
      </c>
    </row>
    <row r="4" spans="1:5" ht="16" x14ac:dyDescent="0.15">
      <c r="A4" s="11">
        <v>1.61</v>
      </c>
      <c r="B4">
        <v>235</v>
      </c>
      <c r="C4" s="17">
        <f t="shared" si="0"/>
        <v>1610</v>
      </c>
      <c r="D4" s="19">
        <f t="shared" si="1"/>
        <v>235000</v>
      </c>
    </row>
    <row r="5" spans="1:5" x14ac:dyDescent="0.15">
      <c r="A5" s="5">
        <v>2.74</v>
      </c>
      <c r="B5" s="6">
        <v>79</v>
      </c>
      <c r="C5" s="17">
        <f t="shared" si="0"/>
        <v>2740</v>
      </c>
      <c r="D5" s="19">
        <f t="shared" si="1"/>
        <v>79000</v>
      </c>
      <c r="E5" s="6"/>
    </row>
    <row r="6" spans="1:5" ht="16" x14ac:dyDescent="0.15">
      <c r="A6" s="11">
        <v>1.21</v>
      </c>
      <c r="B6">
        <v>123</v>
      </c>
      <c r="C6" s="17">
        <f t="shared" si="0"/>
        <v>1210</v>
      </c>
      <c r="D6" s="19">
        <f t="shared" si="1"/>
        <v>123000</v>
      </c>
    </row>
    <row r="7" spans="1:5" x14ac:dyDescent="0.15">
      <c r="A7" s="5">
        <v>0.91</v>
      </c>
      <c r="B7" s="6">
        <v>65</v>
      </c>
      <c r="C7" s="17">
        <f t="shared" si="0"/>
        <v>910</v>
      </c>
      <c r="D7" s="19">
        <f t="shared" si="1"/>
        <v>65000</v>
      </c>
      <c r="E7" s="6"/>
    </row>
    <row r="8" spans="1:5" ht="16" x14ac:dyDescent="0.15">
      <c r="A8" s="11">
        <v>3.08</v>
      </c>
      <c r="B8">
        <v>630</v>
      </c>
      <c r="C8" s="17">
        <f t="shared" si="0"/>
        <v>3080</v>
      </c>
      <c r="D8" s="19">
        <f t="shared" si="1"/>
        <v>630000</v>
      </c>
    </row>
    <row r="9" spans="1:5" x14ac:dyDescent="0.15">
      <c r="A9" s="5">
        <v>1.42</v>
      </c>
      <c r="B9" s="6">
        <v>501</v>
      </c>
      <c r="C9" s="17">
        <f t="shared" si="0"/>
        <v>1420</v>
      </c>
      <c r="D9" s="19">
        <f t="shared" si="1"/>
        <v>501000</v>
      </c>
      <c r="E9" s="6"/>
    </row>
    <row r="10" spans="1:5" ht="16" x14ac:dyDescent="0.15">
      <c r="A10" s="11">
        <v>2.76</v>
      </c>
      <c r="B10">
        <v>200</v>
      </c>
      <c r="C10" s="17">
        <f t="shared" si="0"/>
        <v>2760</v>
      </c>
      <c r="D10" s="19">
        <f t="shared" si="1"/>
        <v>200000</v>
      </c>
    </row>
    <row r="11" spans="1:5" x14ac:dyDescent="0.15">
      <c r="A11" s="5">
        <v>1.78</v>
      </c>
      <c r="B11" s="6">
        <v>579</v>
      </c>
      <c r="C11" s="17">
        <f t="shared" si="0"/>
        <v>1780</v>
      </c>
      <c r="D11" s="19">
        <f t="shared" si="1"/>
        <v>579000</v>
      </c>
      <c r="E11" s="6"/>
    </row>
    <row r="12" spans="1:5" ht="16" x14ac:dyDescent="0.15">
      <c r="A12" s="11">
        <v>1.1200000000000001</v>
      </c>
      <c r="B12">
        <v>511</v>
      </c>
      <c r="C12" s="17">
        <f t="shared" si="0"/>
        <v>1120</v>
      </c>
      <c r="D12" s="19">
        <f t="shared" si="1"/>
        <v>511000</v>
      </c>
    </row>
    <row r="13" spans="1:5" ht="16" x14ac:dyDescent="0.15">
      <c r="A13" s="11">
        <v>3.6</v>
      </c>
      <c r="B13">
        <v>587</v>
      </c>
      <c r="C13" s="17">
        <f t="shared" si="0"/>
        <v>3600</v>
      </c>
      <c r="D13" s="19">
        <f t="shared" si="1"/>
        <v>587000</v>
      </c>
    </row>
    <row r="14" spans="1:5" ht="16" x14ac:dyDescent="0.15">
      <c r="A14" s="11">
        <v>2.2000000000000002</v>
      </c>
      <c r="B14">
        <v>399</v>
      </c>
      <c r="C14" s="17">
        <f t="shared" si="0"/>
        <v>2200</v>
      </c>
      <c r="D14" s="19">
        <f t="shared" si="1"/>
        <v>399000</v>
      </c>
    </row>
    <row r="15" spans="1:5" x14ac:dyDescent="0.15">
      <c r="A15" s="5">
        <v>2.56</v>
      </c>
      <c r="B15" s="6">
        <v>235</v>
      </c>
      <c r="C15" s="17">
        <f t="shared" si="0"/>
        <v>2560</v>
      </c>
      <c r="D15" s="19">
        <f t="shared" si="1"/>
        <v>235000</v>
      </c>
      <c r="E15" s="6"/>
    </row>
    <row r="16" spans="1:5" ht="16" x14ac:dyDescent="0.15">
      <c r="A16" s="11">
        <v>3.39</v>
      </c>
      <c r="B16">
        <v>1867</v>
      </c>
      <c r="C16" s="17">
        <f t="shared" si="0"/>
        <v>3390</v>
      </c>
      <c r="D16" s="19">
        <f t="shared" si="1"/>
        <v>1867000</v>
      </c>
    </row>
    <row r="17" spans="1:5" ht="16" x14ac:dyDescent="0.15">
      <c r="A17" s="11">
        <v>2.1</v>
      </c>
      <c r="B17">
        <v>230</v>
      </c>
      <c r="C17" s="17">
        <f t="shared" si="0"/>
        <v>2100</v>
      </c>
      <c r="D17" s="19">
        <f t="shared" si="1"/>
        <v>230000</v>
      </c>
    </row>
    <row r="18" spans="1:5" x14ac:dyDescent="0.15">
      <c r="A18" s="5">
        <v>1.87</v>
      </c>
      <c r="B18" s="6">
        <v>88</v>
      </c>
      <c r="C18" s="17">
        <f t="shared" si="0"/>
        <v>1870</v>
      </c>
      <c r="D18" s="19">
        <f t="shared" si="1"/>
        <v>88000</v>
      </c>
      <c r="E18" s="6"/>
    </row>
    <row r="19" spans="1:5" ht="16" x14ac:dyDescent="0.15">
      <c r="A19" s="11">
        <v>0.93</v>
      </c>
      <c r="B19">
        <v>162</v>
      </c>
      <c r="C19" s="17">
        <f t="shared" si="0"/>
        <v>930</v>
      </c>
      <c r="D19" s="19">
        <f t="shared" si="1"/>
        <v>162000</v>
      </c>
    </row>
    <row r="20" spans="1:5" x14ac:dyDescent="0.15">
      <c r="A20" s="5">
        <v>3.19</v>
      </c>
      <c r="B20" s="6">
        <v>1766</v>
      </c>
      <c r="C20" s="17">
        <f t="shared" si="0"/>
        <v>3190</v>
      </c>
      <c r="D20" s="19">
        <f t="shared" si="1"/>
        <v>1766000</v>
      </c>
      <c r="E20" s="6"/>
    </row>
    <row r="21" spans="1:5" x14ac:dyDescent="0.15">
      <c r="A21" s="5">
        <v>1.96</v>
      </c>
      <c r="B21" s="6">
        <v>423</v>
      </c>
      <c r="C21" s="17">
        <f t="shared" si="0"/>
        <v>1960</v>
      </c>
      <c r="D21" s="19">
        <f t="shared" si="1"/>
        <v>423000</v>
      </c>
      <c r="E21" s="6"/>
    </row>
    <row r="22" spans="1:5" ht="16" x14ac:dyDescent="0.15">
      <c r="A22" s="11">
        <v>3.46</v>
      </c>
      <c r="B22">
        <v>959</v>
      </c>
      <c r="C22" s="17">
        <f t="shared" si="0"/>
        <v>3460</v>
      </c>
      <c r="D22" s="19">
        <f t="shared" si="1"/>
        <v>959000</v>
      </c>
    </row>
    <row r="23" spans="1:5" x14ac:dyDescent="0.15">
      <c r="A23" s="5">
        <v>2.29</v>
      </c>
      <c r="B23" s="6">
        <v>65</v>
      </c>
      <c r="C23" s="17">
        <f t="shared" si="0"/>
        <v>2290</v>
      </c>
      <c r="D23" s="19">
        <f t="shared" si="1"/>
        <v>65000</v>
      </c>
      <c r="E23" s="6"/>
    </row>
    <row r="24" spans="1:5" ht="16" x14ac:dyDescent="0.15">
      <c r="A24" s="11">
        <v>3.05</v>
      </c>
      <c r="B24">
        <v>83</v>
      </c>
      <c r="C24" s="17">
        <f t="shared" si="0"/>
        <v>3050</v>
      </c>
      <c r="D24" s="19">
        <f t="shared" si="1"/>
        <v>83000</v>
      </c>
    </row>
    <row r="25" spans="1:5" x14ac:dyDescent="0.15">
      <c r="A25" s="5">
        <v>1.72</v>
      </c>
      <c r="B25" s="6">
        <v>148</v>
      </c>
      <c r="C25" s="17">
        <f t="shared" si="0"/>
        <v>1720</v>
      </c>
      <c r="D25" s="19">
        <f t="shared" si="1"/>
        <v>148000</v>
      </c>
      <c r="E25" s="6"/>
    </row>
    <row r="26" spans="1:5" ht="16" x14ac:dyDescent="0.15">
      <c r="A26" s="11">
        <v>4</v>
      </c>
      <c r="B26">
        <v>315</v>
      </c>
      <c r="C26" s="17">
        <f t="shared" si="0"/>
        <v>4000</v>
      </c>
      <c r="D26" s="19">
        <f t="shared" si="1"/>
        <v>315000</v>
      </c>
    </row>
    <row r="27" spans="1:5" ht="16" x14ac:dyDescent="0.15">
      <c r="A27" s="11">
        <v>2.71</v>
      </c>
      <c r="B27">
        <v>1309</v>
      </c>
      <c r="C27" s="17">
        <f t="shared" si="0"/>
        <v>2710</v>
      </c>
      <c r="D27" s="19">
        <f t="shared" si="1"/>
        <v>1309000</v>
      </c>
    </row>
    <row r="28" spans="1:5" x14ac:dyDescent="0.15">
      <c r="A28" s="5">
        <v>2.3199999999999998</v>
      </c>
      <c r="B28" s="6">
        <v>871</v>
      </c>
      <c r="C28" s="17">
        <f t="shared" si="0"/>
        <v>2320</v>
      </c>
      <c r="D28" s="19">
        <f t="shared" si="1"/>
        <v>871000</v>
      </c>
      <c r="E28" s="6"/>
    </row>
    <row r="29" spans="1:5" x14ac:dyDescent="0.15">
      <c r="A29" s="5">
        <v>0.76</v>
      </c>
      <c r="B29" s="6">
        <v>127</v>
      </c>
      <c r="C29" s="17">
        <f t="shared" si="0"/>
        <v>760</v>
      </c>
      <c r="D29" s="19">
        <f t="shared" si="1"/>
        <v>127000</v>
      </c>
      <c r="E29" s="6"/>
    </row>
    <row r="30" spans="1:5" x14ac:dyDescent="0.15">
      <c r="A30" s="5">
        <v>4.72</v>
      </c>
      <c r="B30" s="6">
        <v>422</v>
      </c>
      <c r="C30" s="17">
        <f t="shared" si="0"/>
        <v>4720</v>
      </c>
      <c r="D30" s="19">
        <f t="shared" si="1"/>
        <v>422000</v>
      </c>
      <c r="E30" s="6"/>
    </row>
    <row r="31" spans="1:5" ht="16" x14ac:dyDescent="0.15">
      <c r="A31" s="11">
        <v>1.51</v>
      </c>
      <c r="B31">
        <v>430</v>
      </c>
      <c r="C31" s="17">
        <f t="shared" si="0"/>
        <v>1510</v>
      </c>
      <c r="D31" s="19">
        <f t="shared" si="1"/>
        <v>430000</v>
      </c>
    </row>
    <row r="32" spans="1:5" x14ac:dyDescent="0.15">
      <c r="A32" s="5">
        <v>1.24</v>
      </c>
      <c r="B32" s="6">
        <v>453</v>
      </c>
      <c r="C32" s="17">
        <f t="shared" si="0"/>
        <v>1240</v>
      </c>
      <c r="D32" s="19">
        <f t="shared" si="1"/>
        <v>453000</v>
      </c>
      <c r="E32" s="6"/>
    </row>
    <row r="33" spans="1:5" ht="16" x14ac:dyDescent="0.15">
      <c r="A33" s="11">
        <v>3.03</v>
      </c>
      <c r="B33">
        <v>573</v>
      </c>
      <c r="C33" s="17">
        <f t="shared" si="0"/>
        <v>3030</v>
      </c>
      <c r="D33" s="19">
        <f t="shared" si="1"/>
        <v>573000</v>
      </c>
    </row>
    <row r="34" spans="1:5" ht="16" x14ac:dyDescent="0.15">
      <c r="A34" s="11">
        <v>1.87</v>
      </c>
      <c r="B34">
        <v>609</v>
      </c>
      <c r="C34" s="17">
        <f t="shared" si="0"/>
        <v>1870</v>
      </c>
      <c r="D34" s="19">
        <f t="shared" si="1"/>
        <v>609000</v>
      </c>
    </row>
    <row r="35" spans="1:5" x14ac:dyDescent="0.15">
      <c r="A35" s="5">
        <v>2.23</v>
      </c>
      <c r="B35" s="6">
        <v>769</v>
      </c>
      <c r="C35" s="17">
        <f t="shared" si="0"/>
        <v>2230</v>
      </c>
      <c r="D35" s="19">
        <f t="shared" si="1"/>
        <v>769000</v>
      </c>
      <c r="E35" s="6"/>
    </row>
    <row r="36" spans="1:5" x14ac:dyDescent="0.15">
      <c r="A36" s="5">
        <v>1.57</v>
      </c>
      <c r="B36" s="6">
        <v>370</v>
      </c>
      <c r="C36" s="17">
        <f t="shared" si="0"/>
        <v>1570</v>
      </c>
      <c r="D36" s="19">
        <f t="shared" si="1"/>
        <v>370000</v>
      </c>
      <c r="E36" s="6"/>
    </row>
    <row r="37" spans="1:5" ht="16" x14ac:dyDescent="0.15">
      <c r="A37" s="11">
        <v>4.7699999999999996</v>
      </c>
      <c r="B37">
        <v>412</v>
      </c>
      <c r="C37" s="17">
        <f t="shared" si="0"/>
        <v>4770</v>
      </c>
      <c r="D37" s="19">
        <f t="shared" si="1"/>
        <v>412000</v>
      </c>
    </row>
    <row r="38" spans="1:5" x14ac:dyDescent="0.15">
      <c r="A38" s="5">
        <v>1.87</v>
      </c>
      <c r="B38" s="6">
        <v>186</v>
      </c>
      <c r="C38" s="17">
        <f t="shared" si="0"/>
        <v>1870</v>
      </c>
      <c r="D38" s="19">
        <f t="shared" si="1"/>
        <v>186000</v>
      </c>
      <c r="E38" s="6"/>
    </row>
    <row r="39" spans="1:5" ht="16" x14ac:dyDescent="0.15">
      <c r="A39" s="11">
        <v>0.89</v>
      </c>
      <c r="B39">
        <v>204</v>
      </c>
      <c r="C39" s="17">
        <f t="shared" si="0"/>
        <v>890</v>
      </c>
      <c r="D39" s="19">
        <f t="shared" si="1"/>
        <v>204000</v>
      </c>
    </row>
    <row r="40" spans="1:5" ht="16" x14ac:dyDescent="0.15">
      <c r="A40" s="11">
        <v>3.78</v>
      </c>
      <c r="B40">
        <v>98</v>
      </c>
      <c r="C40" s="17">
        <f t="shared" si="0"/>
        <v>3780</v>
      </c>
      <c r="D40" s="19">
        <f t="shared" si="1"/>
        <v>98000</v>
      </c>
    </row>
    <row r="41" spans="1:5" x14ac:dyDescent="0.15">
      <c r="A41" s="5">
        <v>2.74</v>
      </c>
      <c r="B41" s="6">
        <v>252</v>
      </c>
      <c r="C41" s="17">
        <f t="shared" si="0"/>
        <v>2740</v>
      </c>
      <c r="D41" s="19">
        <f t="shared" si="1"/>
        <v>252000</v>
      </c>
      <c r="E41" s="6"/>
    </row>
    <row r="42" spans="1:5" x14ac:dyDescent="0.15">
      <c r="A42" s="5">
        <v>1</v>
      </c>
      <c r="B42" s="6">
        <v>400</v>
      </c>
      <c r="C42" s="17">
        <f t="shared" si="0"/>
        <v>1000</v>
      </c>
      <c r="D42" s="19">
        <f t="shared" si="1"/>
        <v>400000</v>
      </c>
      <c r="E42" s="6"/>
    </row>
    <row r="43" spans="1:5" ht="16" x14ac:dyDescent="0.15">
      <c r="A43" s="11">
        <v>2.25</v>
      </c>
      <c r="B43">
        <v>308</v>
      </c>
      <c r="C43" s="17">
        <f t="shared" si="0"/>
        <v>2250</v>
      </c>
      <c r="D43" s="19">
        <f t="shared" si="1"/>
        <v>308000</v>
      </c>
    </row>
    <row r="44" spans="1:5" ht="16" x14ac:dyDescent="0.15">
      <c r="A44" s="11">
        <v>2.39</v>
      </c>
      <c r="B44">
        <v>68</v>
      </c>
      <c r="C44" s="17">
        <f t="shared" si="0"/>
        <v>2390</v>
      </c>
      <c r="D44" s="19">
        <f t="shared" si="1"/>
        <v>68000</v>
      </c>
    </row>
    <row r="45" spans="1:5" x14ac:dyDescent="0.15">
      <c r="A45" s="5">
        <v>3.76</v>
      </c>
      <c r="B45" s="6">
        <v>421</v>
      </c>
      <c r="C45" s="17">
        <f t="shared" si="0"/>
        <v>3760</v>
      </c>
      <c r="D45" s="19">
        <f t="shared" si="1"/>
        <v>421000</v>
      </c>
      <c r="E45" s="6"/>
    </row>
    <row r="46" spans="1:5" x14ac:dyDescent="0.15">
      <c r="A46" s="5">
        <v>1.24</v>
      </c>
      <c r="B46" s="6">
        <v>1234</v>
      </c>
      <c r="C46" s="17">
        <f t="shared" si="0"/>
        <v>1240</v>
      </c>
      <c r="D46" s="19">
        <f t="shared" si="1"/>
        <v>1234000</v>
      </c>
      <c r="E46" s="6"/>
    </row>
    <row r="47" spans="1:5" x14ac:dyDescent="0.15">
      <c r="A47" s="5">
        <v>2.02</v>
      </c>
      <c r="B47" s="6">
        <v>189</v>
      </c>
      <c r="C47" s="17">
        <f t="shared" si="0"/>
        <v>2020</v>
      </c>
      <c r="D47" s="19">
        <f t="shared" si="1"/>
        <v>189000</v>
      </c>
      <c r="E47" s="6"/>
    </row>
    <row r="48" spans="1:5" x14ac:dyDescent="0.15">
      <c r="A48" s="5">
        <v>4.54</v>
      </c>
      <c r="B48" s="6">
        <v>393</v>
      </c>
      <c r="C48" s="17">
        <f t="shared" si="0"/>
        <v>4540</v>
      </c>
      <c r="D48" s="19">
        <f t="shared" si="1"/>
        <v>393000</v>
      </c>
      <c r="E48" s="6"/>
    </row>
    <row r="49" spans="1:5" ht="16" x14ac:dyDescent="0.15">
      <c r="A49" s="11">
        <v>1.61</v>
      </c>
      <c r="B49">
        <v>914</v>
      </c>
      <c r="C49" s="17">
        <f t="shared" si="0"/>
        <v>1610</v>
      </c>
      <c r="D49" s="19">
        <f t="shared" si="1"/>
        <v>914000</v>
      </c>
    </row>
    <row r="50" spans="1:5" x14ac:dyDescent="0.15">
      <c r="A50" s="5">
        <v>2.62</v>
      </c>
      <c r="B50" s="6">
        <v>190</v>
      </c>
      <c r="C50" s="17">
        <f t="shared" si="0"/>
        <v>2620</v>
      </c>
      <c r="D50" s="19">
        <f t="shared" si="1"/>
        <v>190000</v>
      </c>
      <c r="E50" s="6"/>
    </row>
    <row r="51" spans="1:5" x14ac:dyDescent="0.15">
      <c r="A51" s="5">
        <v>1.0900000000000001</v>
      </c>
      <c r="B51" s="6">
        <v>573</v>
      </c>
      <c r="C51" s="17">
        <f t="shared" si="0"/>
        <v>1090</v>
      </c>
      <c r="D51" s="19">
        <f t="shared" si="1"/>
        <v>573000</v>
      </c>
      <c r="E51" s="6"/>
    </row>
    <row r="52" spans="1:5" ht="16" x14ac:dyDescent="0.15">
      <c r="A52" s="11">
        <v>5.01</v>
      </c>
      <c r="B52">
        <v>442</v>
      </c>
      <c r="C52" s="17">
        <f t="shared" si="0"/>
        <v>5010</v>
      </c>
      <c r="D52" s="19">
        <f t="shared" si="1"/>
        <v>442000</v>
      </c>
    </row>
    <row r="53" spans="1:5" x14ac:dyDescent="0.15">
      <c r="A53" s="5">
        <v>3.28</v>
      </c>
      <c r="B53" s="6">
        <v>921</v>
      </c>
      <c r="C53" s="17">
        <f t="shared" si="0"/>
        <v>3280</v>
      </c>
      <c r="D53" s="19">
        <f t="shared" si="1"/>
        <v>921000</v>
      </c>
      <c r="E53" s="6"/>
    </row>
    <row r="54" spans="1:5" ht="16" x14ac:dyDescent="0.15">
      <c r="A54" s="11">
        <v>1.1499999999999999</v>
      </c>
      <c r="B54">
        <v>602</v>
      </c>
      <c r="C54" s="17">
        <f t="shared" si="0"/>
        <v>1150</v>
      </c>
      <c r="D54" s="19">
        <f t="shared" si="1"/>
        <v>602000</v>
      </c>
    </row>
    <row r="55" spans="1:5" x14ac:dyDescent="0.15">
      <c r="A55" s="5">
        <v>1.36</v>
      </c>
      <c r="B55" s="6">
        <v>408</v>
      </c>
      <c r="C55" s="17">
        <f t="shared" si="0"/>
        <v>1360</v>
      </c>
      <c r="D55" s="19">
        <f t="shared" si="1"/>
        <v>408000</v>
      </c>
      <c r="E55" s="6"/>
    </row>
    <row r="56" spans="1:5" x14ac:dyDescent="0.15">
      <c r="A56" s="5">
        <v>2.11</v>
      </c>
      <c r="B56" s="6">
        <v>429</v>
      </c>
      <c r="C56" s="17">
        <f t="shared" si="0"/>
        <v>2110</v>
      </c>
      <c r="D56" s="19">
        <f t="shared" si="1"/>
        <v>429000</v>
      </c>
      <c r="E56" s="6"/>
    </row>
    <row r="57" spans="1:5" x14ac:dyDescent="0.15">
      <c r="A57" s="5">
        <v>1.9</v>
      </c>
      <c r="B57" s="6">
        <v>1866</v>
      </c>
      <c r="C57" s="17">
        <f t="shared" si="0"/>
        <v>1900</v>
      </c>
      <c r="D57" s="19">
        <f t="shared" si="1"/>
        <v>1866000</v>
      </c>
      <c r="E57" s="6"/>
    </row>
    <row r="58" spans="1:5" x14ac:dyDescent="0.15">
      <c r="A58" s="5">
        <v>1.96</v>
      </c>
      <c r="B58" s="6">
        <v>609</v>
      </c>
      <c r="C58" s="17">
        <f t="shared" si="0"/>
        <v>1960</v>
      </c>
      <c r="D58" s="19">
        <f t="shared" si="1"/>
        <v>609000</v>
      </c>
      <c r="E58" s="6"/>
    </row>
    <row r="59" spans="1:5" x14ac:dyDescent="0.15">
      <c r="A59" s="5">
        <v>4</v>
      </c>
      <c r="B59" s="6">
        <v>435</v>
      </c>
      <c r="C59" s="17">
        <f t="shared" si="0"/>
        <v>4000</v>
      </c>
      <c r="D59" s="19">
        <f t="shared" si="1"/>
        <v>435000</v>
      </c>
      <c r="E59" s="6"/>
    </row>
    <row r="60" spans="1:5" x14ac:dyDescent="0.15">
      <c r="A60" s="5">
        <v>4.45</v>
      </c>
      <c r="B60" s="6">
        <v>1833</v>
      </c>
      <c r="C60" s="17">
        <f t="shared" si="0"/>
        <v>4450</v>
      </c>
      <c r="D60" s="19">
        <f t="shared" si="1"/>
        <v>1833000</v>
      </c>
      <c r="E60" s="6"/>
    </row>
    <row r="61" spans="1:5" x14ac:dyDescent="0.15">
      <c r="A61" s="5">
        <v>1.54</v>
      </c>
      <c r="B61" s="6">
        <v>224</v>
      </c>
      <c r="C61" s="17">
        <f t="shared" si="0"/>
        <v>1540</v>
      </c>
      <c r="D61" s="19">
        <f t="shared" si="1"/>
        <v>224000</v>
      </c>
      <c r="E61" s="6"/>
    </row>
    <row r="62" spans="1:5" x14ac:dyDescent="0.15">
      <c r="A62" s="5">
        <v>2.62</v>
      </c>
      <c r="B62" s="6">
        <v>214</v>
      </c>
      <c r="C62" s="17">
        <f t="shared" si="0"/>
        <v>2620</v>
      </c>
      <c r="D62" s="19">
        <f t="shared" si="1"/>
        <v>214000</v>
      </c>
      <c r="E62" s="6"/>
    </row>
    <row r="63" spans="1:5" x14ac:dyDescent="0.15">
      <c r="A63" s="5">
        <v>3.04</v>
      </c>
      <c r="B63" s="6">
        <v>764</v>
      </c>
      <c r="C63" s="17">
        <f t="shared" si="0"/>
        <v>3040</v>
      </c>
      <c r="D63" s="19">
        <f t="shared" si="1"/>
        <v>764000</v>
      </c>
      <c r="E63" s="6"/>
    </row>
    <row r="64" spans="1:5" x14ac:dyDescent="0.15">
      <c r="A64" s="5">
        <v>3.43</v>
      </c>
      <c r="B64" s="6">
        <v>558</v>
      </c>
      <c r="C64" s="17">
        <f t="shared" si="0"/>
        <v>3430</v>
      </c>
      <c r="D64" s="19">
        <f t="shared" si="1"/>
        <v>558000</v>
      </c>
      <c r="E64" s="6"/>
    </row>
    <row r="65" spans="1:7" ht="16" x14ac:dyDescent="0.15">
      <c r="A65" s="11">
        <v>0.52</v>
      </c>
      <c r="B65">
        <v>375</v>
      </c>
      <c r="C65" s="17">
        <f t="shared" si="0"/>
        <v>520</v>
      </c>
      <c r="D65" s="19">
        <f t="shared" si="1"/>
        <v>375000</v>
      </c>
    </row>
    <row r="66" spans="1:7" ht="16" x14ac:dyDescent="0.15">
      <c r="A66" s="11">
        <v>1.05</v>
      </c>
      <c r="B66">
        <v>420</v>
      </c>
      <c r="C66" s="17">
        <f t="shared" si="0"/>
        <v>1050</v>
      </c>
      <c r="D66" s="19">
        <f t="shared" si="1"/>
        <v>420000</v>
      </c>
    </row>
    <row r="67" spans="1:7" x14ac:dyDescent="0.15">
      <c r="A67" s="5">
        <v>0.88</v>
      </c>
      <c r="B67" s="6">
        <v>154</v>
      </c>
      <c r="C67" s="17">
        <f t="shared" ref="C67:C81" si="2">A67*1000</f>
        <v>880</v>
      </c>
      <c r="D67" s="19">
        <f t="shared" ref="D67:D81" si="3">B67*1000</f>
        <v>154000</v>
      </c>
      <c r="E67" s="6"/>
    </row>
    <row r="68" spans="1:7" x14ac:dyDescent="0.15">
      <c r="A68" s="5">
        <v>1.99</v>
      </c>
      <c r="B68" s="6">
        <v>126</v>
      </c>
      <c r="C68" s="17">
        <f t="shared" si="2"/>
        <v>1990</v>
      </c>
      <c r="D68" s="19">
        <f t="shared" si="3"/>
        <v>126000</v>
      </c>
      <c r="E68" s="6"/>
    </row>
    <row r="69" spans="1:7" x14ac:dyDescent="0.15">
      <c r="A69" s="5">
        <v>3.07</v>
      </c>
      <c r="B69" s="6">
        <v>316</v>
      </c>
      <c r="C69" s="17">
        <f t="shared" si="2"/>
        <v>3070</v>
      </c>
      <c r="D69" s="19">
        <f t="shared" si="3"/>
        <v>316000</v>
      </c>
      <c r="E69" s="6"/>
    </row>
    <row r="70" spans="1:7" ht="16" x14ac:dyDescent="0.15">
      <c r="A70" s="11">
        <v>1.96</v>
      </c>
      <c r="B70">
        <v>92</v>
      </c>
      <c r="C70" s="17">
        <f t="shared" si="2"/>
        <v>1960</v>
      </c>
      <c r="D70" s="19">
        <f t="shared" si="3"/>
        <v>92000</v>
      </c>
    </row>
    <row r="71" spans="1:7" ht="16" x14ac:dyDescent="0.15">
      <c r="A71" s="11">
        <v>2.2000000000000002</v>
      </c>
      <c r="B71">
        <v>462</v>
      </c>
      <c r="C71" s="17">
        <f t="shared" si="2"/>
        <v>2200</v>
      </c>
      <c r="D71" s="19">
        <f t="shared" si="3"/>
        <v>462000</v>
      </c>
    </row>
    <row r="72" spans="1:7" x14ac:dyDescent="0.15">
      <c r="A72" s="5">
        <v>2.35</v>
      </c>
      <c r="B72" s="6">
        <v>1182</v>
      </c>
      <c r="C72" s="17">
        <f t="shared" si="2"/>
        <v>2350</v>
      </c>
      <c r="D72" s="19">
        <f t="shared" si="3"/>
        <v>1182000</v>
      </c>
      <c r="E72" s="6"/>
    </row>
    <row r="73" spans="1:7" x14ac:dyDescent="0.15">
      <c r="A73" s="5">
        <v>4.9000000000000004</v>
      </c>
      <c r="B73" s="6">
        <v>964</v>
      </c>
      <c r="C73" s="17">
        <f t="shared" si="2"/>
        <v>4900</v>
      </c>
      <c r="D73" s="19">
        <f t="shared" si="3"/>
        <v>964000</v>
      </c>
      <c r="E73" s="6"/>
    </row>
    <row r="74" spans="1:7" ht="16" x14ac:dyDescent="0.15">
      <c r="A74" s="11">
        <v>3.17</v>
      </c>
      <c r="B74">
        <v>332</v>
      </c>
      <c r="C74" s="17">
        <f t="shared" si="2"/>
        <v>3170</v>
      </c>
      <c r="D74" s="19">
        <f t="shared" si="3"/>
        <v>332000</v>
      </c>
    </row>
    <row r="75" spans="1:7" x14ac:dyDescent="0.15">
      <c r="A75" s="5">
        <v>1.87</v>
      </c>
      <c r="B75" s="6">
        <v>1422</v>
      </c>
      <c r="C75" s="17">
        <f t="shared" si="2"/>
        <v>1870</v>
      </c>
      <c r="D75" s="19">
        <f t="shared" si="3"/>
        <v>1422000</v>
      </c>
      <c r="E75" s="6"/>
    </row>
    <row r="76" spans="1:7" x14ac:dyDescent="0.15">
      <c r="A76" s="5">
        <v>3.52</v>
      </c>
      <c r="B76" s="6">
        <v>1576</v>
      </c>
      <c r="C76" s="17">
        <f t="shared" si="2"/>
        <v>3520</v>
      </c>
      <c r="D76" s="19">
        <f t="shared" si="3"/>
        <v>1576000</v>
      </c>
      <c r="E76" s="6"/>
    </row>
    <row r="77" spans="1:7" ht="16" x14ac:dyDescent="0.15">
      <c r="A77" s="11">
        <v>2.1800000000000002</v>
      </c>
      <c r="B77">
        <v>538</v>
      </c>
      <c r="C77" s="17">
        <f t="shared" si="2"/>
        <v>2180</v>
      </c>
      <c r="D77" s="19">
        <f t="shared" si="3"/>
        <v>538000</v>
      </c>
    </row>
    <row r="78" spans="1:7" x14ac:dyDescent="0.15">
      <c r="A78" s="5">
        <v>2.77</v>
      </c>
      <c r="B78" s="6">
        <v>531</v>
      </c>
      <c r="C78" s="17">
        <f t="shared" si="2"/>
        <v>2770</v>
      </c>
      <c r="D78" s="19">
        <f t="shared" si="3"/>
        <v>531000</v>
      </c>
      <c r="E78" s="6"/>
    </row>
    <row r="79" spans="1:7" x14ac:dyDescent="0.15">
      <c r="A79" s="5">
        <v>1.33</v>
      </c>
      <c r="B79" s="6">
        <v>337</v>
      </c>
      <c r="C79" s="17">
        <f t="shared" si="2"/>
        <v>1330</v>
      </c>
      <c r="D79" s="19">
        <f t="shared" si="3"/>
        <v>337000</v>
      </c>
      <c r="E79" s="6"/>
      <c r="G79" t="s">
        <v>34</v>
      </c>
    </row>
    <row r="80" spans="1:7" ht="16" x14ac:dyDescent="0.15">
      <c r="A80" s="11">
        <v>3.17</v>
      </c>
      <c r="B80">
        <v>827</v>
      </c>
      <c r="C80" s="17">
        <f t="shared" si="2"/>
        <v>3170</v>
      </c>
      <c r="D80" s="19">
        <f t="shared" si="3"/>
        <v>827000</v>
      </c>
      <c r="G80" t="s">
        <v>33</v>
      </c>
    </row>
    <row r="81" spans="1:7" ht="16" x14ac:dyDescent="0.15">
      <c r="A81" s="11">
        <v>2.74</v>
      </c>
      <c r="B81">
        <v>226</v>
      </c>
      <c r="C81" s="17">
        <f t="shared" si="2"/>
        <v>2740</v>
      </c>
      <c r="D81" s="19">
        <f t="shared" si="3"/>
        <v>226000</v>
      </c>
      <c r="G81">
        <f>CORREL(C2:C81,D2:D81)</f>
        <v>0.27010219952218001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E9CD-1553-A140-B269-FAAC11CB67FB}">
  <dimension ref="A1:I21"/>
  <sheetViews>
    <sheetView workbookViewId="0">
      <selection activeCell="D26" sqref="D26"/>
    </sheetView>
  </sheetViews>
  <sheetFormatPr baseColWidth="10" defaultRowHeight="13" x14ac:dyDescent="0.15"/>
  <sheetData>
    <row r="1" spans="1:9" x14ac:dyDescent="0.15">
      <c r="A1" s="25" t="s">
        <v>6</v>
      </c>
      <c r="B1" s="26"/>
      <c r="C1" s="26"/>
      <c r="D1" s="26"/>
      <c r="E1" s="26"/>
      <c r="F1" s="26"/>
      <c r="G1" s="26"/>
      <c r="H1" s="26"/>
      <c r="I1" s="27"/>
    </row>
    <row r="2" spans="1:9" ht="14" thickBot="1" x14ac:dyDescent="0.2">
      <c r="A2" s="28"/>
      <c r="B2" s="21"/>
      <c r="C2" s="21"/>
      <c r="D2" s="21"/>
      <c r="E2" s="21"/>
      <c r="F2" s="21"/>
      <c r="G2" s="21"/>
      <c r="H2" s="21"/>
      <c r="I2" s="29"/>
    </row>
    <row r="3" spans="1:9" x14ac:dyDescent="0.15">
      <c r="A3" s="30" t="s">
        <v>7</v>
      </c>
      <c r="B3" s="22"/>
      <c r="C3" s="21"/>
      <c r="D3" s="21"/>
      <c r="E3" s="21"/>
      <c r="F3" s="21"/>
      <c r="G3" s="21"/>
      <c r="H3" s="21"/>
      <c r="I3" s="29"/>
    </row>
    <row r="4" spans="1:9" x14ac:dyDescent="0.15">
      <c r="A4" s="28" t="s">
        <v>8</v>
      </c>
      <c r="B4" s="21">
        <v>0.27010219952218056</v>
      </c>
      <c r="C4" s="21"/>
      <c r="D4" s="21"/>
      <c r="E4" s="21"/>
      <c r="F4" s="21"/>
      <c r="G4" s="21"/>
      <c r="H4" s="21"/>
      <c r="I4" s="29"/>
    </row>
    <row r="5" spans="1:9" x14ac:dyDescent="0.15">
      <c r="A5" s="28" t="s">
        <v>9</v>
      </c>
      <c r="B5" s="21">
        <v>7.2955198186719833E-2</v>
      </c>
      <c r="C5" s="21"/>
      <c r="D5" s="21"/>
      <c r="E5" s="21"/>
      <c r="F5" s="21"/>
      <c r="G5" s="21"/>
      <c r="H5" s="21"/>
      <c r="I5" s="29"/>
    </row>
    <row r="6" spans="1:9" x14ac:dyDescent="0.15">
      <c r="A6" s="28" t="s">
        <v>10</v>
      </c>
      <c r="B6" s="21">
        <v>6.1070008419882901E-2</v>
      </c>
      <c r="C6" s="21"/>
      <c r="D6" s="21"/>
      <c r="E6" s="21"/>
      <c r="F6" s="21"/>
      <c r="G6" s="21"/>
      <c r="H6" s="21"/>
      <c r="I6" s="29"/>
    </row>
    <row r="7" spans="1:9" x14ac:dyDescent="0.15">
      <c r="A7" s="28" t="s">
        <v>11</v>
      </c>
      <c r="B7" s="21">
        <v>432368.58742122952</v>
      </c>
      <c r="C7" s="21"/>
      <c r="D7" s="21"/>
      <c r="E7" s="21"/>
      <c r="F7" s="21"/>
      <c r="G7" s="21"/>
      <c r="H7" s="21"/>
      <c r="I7" s="29"/>
    </row>
    <row r="8" spans="1:9" ht="14" thickBot="1" x14ac:dyDescent="0.2">
      <c r="A8" s="31" t="s">
        <v>12</v>
      </c>
      <c r="B8" s="23">
        <v>80</v>
      </c>
      <c r="C8" s="21"/>
      <c r="D8" s="21"/>
      <c r="E8" s="21"/>
      <c r="F8" s="21"/>
      <c r="G8" s="21"/>
      <c r="H8" s="21"/>
      <c r="I8" s="29"/>
    </row>
    <row r="9" spans="1:9" x14ac:dyDescent="0.15">
      <c r="A9" s="28"/>
      <c r="B9" s="21"/>
      <c r="C9" s="21"/>
      <c r="D9" s="21"/>
      <c r="E9" s="21"/>
      <c r="F9" s="21"/>
      <c r="G9" s="21"/>
      <c r="H9" s="21"/>
      <c r="I9" s="29"/>
    </row>
    <row r="10" spans="1:9" ht="14" thickBot="1" x14ac:dyDescent="0.2">
      <c r="A10" s="28" t="s">
        <v>13</v>
      </c>
      <c r="B10" s="21"/>
      <c r="C10" s="21"/>
      <c r="D10" s="21"/>
      <c r="E10" s="21"/>
      <c r="F10" s="21"/>
      <c r="G10" s="21"/>
      <c r="H10" s="21"/>
      <c r="I10" s="29"/>
    </row>
    <row r="11" spans="1:9" x14ac:dyDescent="0.15">
      <c r="A11" s="32"/>
      <c r="B11" s="24" t="s">
        <v>18</v>
      </c>
      <c r="C11" s="24" t="s">
        <v>19</v>
      </c>
      <c r="D11" s="24" t="s">
        <v>20</v>
      </c>
      <c r="E11" s="24" t="s">
        <v>21</v>
      </c>
      <c r="F11" s="24" t="s">
        <v>22</v>
      </c>
      <c r="G11" s="21"/>
      <c r="H11" s="21"/>
      <c r="I11" s="29"/>
    </row>
    <row r="12" spans="1:9" x14ac:dyDescent="0.15">
      <c r="A12" s="28" t="s">
        <v>14</v>
      </c>
      <c r="B12" s="21">
        <v>1</v>
      </c>
      <c r="C12" s="21">
        <v>1147515047186.9082</v>
      </c>
      <c r="D12" s="21">
        <v>1147515047186.9082</v>
      </c>
      <c r="E12" s="21">
        <v>6.1383284253723627</v>
      </c>
      <c r="F12" s="21">
        <v>1.5390132861241374E-2</v>
      </c>
      <c r="G12" s="21"/>
      <c r="H12" s="21"/>
      <c r="I12" s="29"/>
    </row>
    <row r="13" spans="1:9" x14ac:dyDescent="0.15">
      <c r="A13" s="28" t="s">
        <v>15</v>
      </c>
      <c r="B13" s="21">
        <v>78</v>
      </c>
      <c r="C13" s="21">
        <v>14581522440313.092</v>
      </c>
      <c r="D13" s="21">
        <v>186942595388.62939</v>
      </c>
      <c r="E13" s="21"/>
      <c r="F13" s="21"/>
      <c r="G13" s="21"/>
      <c r="H13" s="21"/>
      <c r="I13" s="29"/>
    </row>
    <row r="14" spans="1:9" ht="14" thickBot="1" x14ac:dyDescent="0.2">
      <c r="A14" s="31" t="s">
        <v>16</v>
      </c>
      <c r="B14" s="23">
        <v>79</v>
      </c>
      <c r="C14" s="23">
        <v>15729037487500</v>
      </c>
      <c r="D14" s="23"/>
      <c r="E14" s="23"/>
      <c r="F14" s="23"/>
      <c r="G14" s="21"/>
      <c r="H14" s="21"/>
      <c r="I14" s="29"/>
    </row>
    <row r="15" spans="1:9" ht="14" thickBot="1" x14ac:dyDescent="0.2">
      <c r="A15" s="28"/>
      <c r="B15" s="21"/>
      <c r="C15" s="21"/>
      <c r="D15" s="21"/>
      <c r="E15" s="21"/>
      <c r="F15" s="21"/>
      <c r="G15" s="21"/>
      <c r="H15" s="21"/>
      <c r="I15" s="29"/>
    </row>
    <row r="16" spans="1:9" x14ac:dyDescent="0.15">
      <c r="A16" s="32"/>
      <c r="B16" s="24" t="s">
        <v>23</v>
      </c>
      <c r="C16" s="24" t="s">
        <v>11</v>
      </c>
      <c r="D16" s="24" t="s">
        <v>24</v>
      </c>
      <c r="E16" s="24" t="s">
        <v>25</v>
      </c>
      <c r="F16" s="24" t="s">
        <v>26</v>
      </c>
      <c r="G16" s="24" t="s">
        <v>27</v>
      </c>
      <c r="H16" s="24" t="s">
        <v>28</v>
      </c>
      <c r="I16" s="33" t="s">
        <v>29</v>
      </c>
    </row>
    <row r="17" spans="1:9" x14ac:dyDescent="0.15">
      <c r="A17" s="28" t="s">
        <v>17</v>
      </c>
      <c r="B17" s="21">
        <v>268998.14073730703</v>
      </c>
      <c r="C17" s="21">
        <v>116224.16035519388</v>
      </c>
      <c r="D17" s="21">
        <v>2.3144769548364041</v>
      </c>
      <c r="E17" s="21">
        <v>2.3273836024512135E-2</v>
      </c>
      <c r="F17" s="21">
        <v>37613.611769069248</v>
      </c>
      <c r="G17" s="21">
        <v>500382.66970554483</v>
      </c>
      <c r="H17" s="21">
        <v>37613.611769069248</v>
      </c>
      <c r="I17" s="29">
        <v>500382.66970554483</v>
      </c>
    </row>
    <row r="18" spans="1:9" ht="14" thickBot="1" x14ac:dyDescent="0.2">
      <c r="A18" s="31" t="s">
        <v>30</v>
      </c>
      <c r="B18" s="23">
        <v>107.44806247635759</v>
      </c>
      <c r="C18" s="23">
        <v>43.368412790322118</v>
      </c>
      <c r="D18" s="23">
        <v>2.4775650194035963</v>
      </c>
      <c r="E18" s="23">
        <v>1.5390132861241515E-2</v>
      </c>
      <c r="F18" s="23">
        <v>21.108184993729314</v>
      </c>
      <c r="G18" s="23">
        <v>193.78793995898587</v>
      </c>
      <c r="H18" s="23">
        <v>21.108184993729314</v>
      </c>
      <c r="I18" s="34">
        <v>193.78793995898587</v>
      </c>
    </row>
    <row r="19" spans="1:9" x14ac:dyDescent="0.15">
      <c r="A19" s="28"/>
      <c r="B19" s="21"/>
      <c r="C19" s="21"/>
      <c r="D19" s="21"/>
      <c r="E19" s="21"/>
      <c r="F19" s="21"/>
      <c r="G19" s="21"/>
      <c r="H19" s="21"/>
      <c r="I19" s="29"/>
    </row>
    <row r="20" spans="1:9" x14ac:dyDescent="0.15">
      <c r="A20" s="28"/>
      <c r="B20" s="21"/>
      <c r="C20" s="21"/>
      <c r="D20" s="21"/>
      <c r="E20" s="21"/>
      <c r="F20" s="21"/>
      <c r="G20" s="21"/>
      <c r="H20" s="21"/>
      <c r="I20" s="29"/>
    </row>
    <row r="21" spans="1:9" ht="14" thickBot="1" x14ac:dyDescent="0.2">
      <c r="A21" s="31"/>
      <c r="B21" s="23"/>
      <c r="C21" s="23"/>
      <c r="D21" s="23"/>
      <c r="E21" s="23"/>
      <c r="F21" s="23"/>
      <c r="G21" s="23"/>
      <c r="H21" s="23"/>
      <c r="I21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C485-8EC1-C742-9522-94805F8027DB}">
  <dimension ref="A1:H81"/>
  <sheetViews>
    <sheetView workbookViewId="0">
      <selection activeCell="D2" sqref="D2"/>
    </sheetView>
  </sheetViews>
  <sheetFormatPr baseColWidth="10" defaultRowHeight="13" x14ac:dyDescent="0.15"/>
  <sheetData>
    <row r="1" spans="1:5" x14ac:dyDescent="0.15">
      <c r="A1" s="12" t="s">
        <v>2</v>
      </c>
      <c r="B1" s="12" t="s">
        <v>4</v>
      </c>
      <c r="C1" s="12" t="s">
        <v>2</v>
      </c>
      <c r="D1" s="12" t="s">
        <v>31</v>
      </c>
      <c r="E1" s="12"/>
    </row>
    <row r="2" spans="1:5" x14ac:dyDescent="0.15">
      <c r="A2" s="6">
        <v>47</v>
      </c>
      <c r="B2">
        <v>1012</v>
      </c>
      <c r="C2" s="6">
        <v>47</v>
      </c>
      <c r="D2" s="19">
        <f>B2*1000</f>
        <v>1012000</v>
      </c>
    </row>
    <row r="3" spans="1:5" x14ac:dyDescent="0.15">
      <c r="A3" s="6">
        <v>84</v>
      </c>
      <c r="B3">
        <v>247</v>
      </c>
      <c r="C3" s="6">
        <v>84</v>
      </c>
      <c r="D3" s="19">
        <f t="shared" ref="D3:D66" si="0">B3*1000</f>
        <v>247000</v>
      </c>
    </row>
    <row r="4" spans="1:5" x14ac:dyDescent="0.15">
      <c r="A4" s="6">
        <v>69</v>
      </c>
      <c r="B4">
        <v>235</v>
      </c>
      <c r="C4" s="6">
        <v>69</v>
      </c>
      <c r="D4" s="19">
        <f t="shared" si="0"/>
        <v>235000</v>
      </c>
    </row>
    <row r="5" spans="1:5" x14ac:dyDescent="0.15">
      <c r="A5" s="6">
        <v>64</v>
      </c>
      <c r="B5" s="6">
        <v>79</v>
      </c>
      <c r="C5" s="6">
        <v>64</v>
      </c>
      <c r="D5" s="19">
        <f t="shared" si="0"/>
        <v>79000</v>
      </c>
      <c r="E5" s="6"/>
    </row>
    <row r="6" spans="1:5" x14ac:dyDescent="0.15">
      <c r="A6" s="6">
        <v>64</v>
      </c>
      <c r="B6">
        <v>123</v>
      </c>
      <c r="C6" s="6">
        <v>64</v>
      </c>
      <c r="D6" s="19">
        <f t="shared" si="0"/>
        <v>123000</v>
      </c>
    </row>
    <row r="7" spans="1:5" x14ac:dyDescent="0.15">
      <c r="A7" s="6">
        <v>72</v>
      </c>
      <c r="B7" s="6">
        <v>65</v>
      </c>
      <c r="C7" s="6">
        <v>72</v>
      </c>
      <c r="D7" s="19">
        <f t="shared" si="0"/>
        <v>65000</v>
      </c>
      <c r="E7" s="6"/>
    </row>
    <row r="8" spans="1:5" x14ac:dyDescent="0.15">
      <c r="A8" s="6">
        <v>63</v>
      </c>
      <c r="B8">
        <v>630</v>
      </c>
      <c r="C8" s="6">
        <v>63</v>
      </c>
      <c r="D8" s="19">
        <f t="shared" si="0"/>
        <v>630000</v>
      </c>
    </row>
    <row r="9" spans="1:5" x14ac:dyDescent="0.15">
      <c r="A9" s="6">
        <v>57</v>
      </c>
      <c r="B9" s="6">
        <v>501</v>
      </c>
      <c r="C9" s="6">
        <v>57</v>
      </c>
      <c r="D9" s="19">
        <f t="shared" si="0"/>
        <v>501000</v>
      </c>
      <c r="E9" s="6"/>
    </row>
    <row r="10" spans="1:5" x14ac:dyDescent="0.15">
      <c r="A10" s="6">
        <v>57</v>
      </c>
      <c r="B10">
        <v>200</v>
      </c>
      <c r="C10" s="6">
        <v>57</v>
      </c>
      <c r="D10" s="19">
        <f t="shared" si="0"/>
        <v>200000</v>
      </c>
    </row>
    <row r="11" spans="1:5" x14ac:dyDescent="0.15">
      <c r="A11" s="6">
        <v>50</v>
      </c>
      <c r="B11" s="6">
        <v>579</v>
      </c>
      <c r="C11" s="6">
        <v>50</v>
      </c>
      <c r="D11" s="19">
        <f t="shared" si="0"/>
        <v>579000</v>
      </c>
      <c r="E11" s="6"/>
    </row>
    <row r="12" spans="1:5" x14ac:dyDescent="0.15">
      <c r="A12" s="6">
        <v>60</v>
      </c>
      <c r="B12">
        <v>511</v>
      </c>
      <c r="C12" s="6">
        <v>60</v>
      </c>
      <c r="D12" s="19">
        <f t="shared" si="0"/>
        <v>511000</v>
      </c>
    </row>
    <row r="13" spans="1:5" x14ac:dyDescent="0.15">
      <c r="A13" s="6">
        <v>68</v>
      </c>
      <c r="B13">
        <v>587</v>
      </c>
      <c r="C13" s="6">
        <v>68</v>
      </c>
      <c r="D13" s="19">
        <f t="shared" si="0"/>
        <v>587000</v>
      </c>
    </row>
    <row r="14" spans="1:5" x14ac:dyDescent="0.15">
      <c r="A14" s="6">
        <v>63</v>
      </c>
      <c r="B14">
        <v>399</v>
      </c>
      <c r="C14" s="6">
        <v>63</v>
      </c>
      <c r="D14" s="19">
        <f t="shared" si="0"/>
        <v>399000</v>
      </c>
    </row>
    <row r="15" spans="1:5" x14ac:dyDescent="0.15">
      <c r="A15" s="6">
        <v>80</v>
      </c>
      <c r="B15" s="6">
        <v>235</v>
      </c>
      <c r="C15" s="6">
        <v>80</v>
      </c>
      <c r="D15" s="19">
        <f t="shared" si="0"/>
        <v>235000</v>
      </c>
      <c r="E15" s="6"/>
    </row>
    <row r="16" spans="1:5" x14ac:dyDescent="0.15">
      <c r="A16" s="6">
        <v>59</v>
      </c>
      <c r="B16">
        <v>1867</v>
      </c>
      <c r="C16" s="6">
        <v>59</v>
      </c>
      <c r="D16" s="19">
        <f t="shared" si="0"/>
        <v>1867000</v>
      </c>
    </row>
    <row r="17" spans="1:5" x14ac:dyDescent="0.15">
      <c r="A17" s="6">
        <v>62</v>
      </c>
      <c r="B17">
        <v>230</v>
      </c>
      <c r="C17" s="6">
        <v>62</v>
      </c>
      <c r="D17" s="19">
        <f t="shared" si="0"/>
        <v>230000</v>
      </c>
    </row>
    <row r="18" spans="1:5" x14ac:dyDescent="0.15">
      <c r="A18" s="6">
        <v>59</v>
      </c>
      <c r="B18" s="6">
        <v>88</v>
      </c>
      <c r="C18" s="6">
        <v>59</v>
      </c>
      <c r="D18" s="19">
        <f t="shared" si="0"/>
        <v>88000</v>
      </c>
      <c r="E18" s="6"/>
    </row>
    <row r="19" spans="1:5" x14ac:dyDescent="0.15">
      <c r="A19" s="6">
        <v>66</v>
      </c>
      <c r="B19">
        <v>162</v>
      </c>
      <c r="C19" s="6">
        <v>66</v>
      </c>
      <c r="D19" s="19">
        <f t="shared" si="0"/>
        <v>162000</v>
      </c>
    </row>
    <row r="20" spans="1:5" x14ac:dyDescent="0.15">
      <c r="A20" s="6">
        <v>55</v>
      </c>
      <c r="B20" s="6">
        <v>1766</v>
      </c>
      <c r="C20" s="6">
        <v>55</v>
      </c>
      <c r="D20" s="19">
        <f t="shared" si="0"/>
        <v>1766000</v>
      </c>
      <c r="E20" s="6"/>
    </row>
    <row r="21" spans="1:5" x14ac:dyDescent="0.15">
      <c r="A21" s="6">
        <v>64</v>
      </c>
      <c r="B21" s="6">
        <v>423</v>
      </c>
      <c r="C21" s="6">
        <v>64</v>
      </c>
      <c r="D21" s="19">
        <f t="shared" si="0"/>
        <v>423000</v>
      </c>
      <c r="E21" s="6"/>
    </row>
    <row r="22" spans="1:5" x14ac:dyDescent="0.15">
      <c r="A22" s="6">
        <v>57</v>
      </c>
      <c r="B22">
        <v>959</v>
      </c>
      <c r="C22" s="6">
        <v>57</v>
      </c>
      <c r="D22" s="19">
        <f t="shared" si="0"/>
        <v>959000</v>
      </c>
    </row>
    <row r="23" spans="1:5" x14ac:dyDescent="0.15">
      <c r="A23" s="6">
        <v>64</v>
      </c>
      <c r="B23" s="6">
        <v>65</v>
      </c>
      <c r="C23" s="6">
        <v>64</v>
      </c>
      <c r="D23" s="19">
        <f t="shared" si="0"/>
        <v>65000</v>
      </c>
      <c r="E23" s="6"/>
    </row>
    <row r="24" spans="1:5" x14ac:dyDescent="0.15">
      <c r="A24" s="6">
        <v>63</v>
      </c>
      <c r="B24">
        <v>83</v>
      </c>
      <c r="C24" s="6">
        <v>63</v>
      </c>
      <c r="D24" s="19">
        <f t="shared" si="0"/>
        <v>83000</v>
      </c>
    </row>
    <row r="25" spans="1:5" x14ac:dyDescent="0.15">
      <c r="A25" s="6">
        <v>55</v>
      </c>
      <c r="B25" s="6">
        <v>148</v>
      </c>
      <c r="C25" s="6">
        <v>55</v>
      </c>
      <c r="D25" s="19">
        <f t="shared" si="0"/>
        <v>148000</v>
      </c>
      <c r="E25" s="6"/>
    </row>
    <row r="26" spans="1:5" x14ac:dyDescent="0.15">
      <c r="A26" s="6">
        <v>80</v>
      </c>
      <c r="B26">
        <v>315</v>
      </c>
      <c r="C26" s="6">
        <v>80</v>
      </c>
      <c r="D26" s="19">
        <f t="shared" si="0"/>
        <v>315000</v>
      </c>
    </row>
    <row r="27" spans="1:5" x14ac:dyDescent="0.15">
      <c r="A27" s="6">
        <v>64</v>
      </c>
      <c r="B27">
        <v>1309</v>
      </c>
      <c r="C27" s="6">
        <v>64</v>
      </c>
      <c r="D27" s="19">
        <f t="shared" si="0"/>
        <v>1309000</v>
      </c>
    </row>
    <row r="28" spans="1:5" x14ac:dyDescent="0.15">
      <c r="A28" s="6">
        <v>58</v>
      </c>
      <c r="B28" s="6">
        <v>871</v>
      </c>
      <c r="C28" s="6">
        <v>58</v>
      </c>
      <c r="D28" s="19">
        <f t="shared" si="0"/>
        <v>871000</v>
      </c>
      <c r="E28" s="6"/>
    </row>
    <row r="29" spans="1:5" x14ac:dyDescent="0.15">
      <c r="A29" s="6">
        <v>63</v>
      </c>
      <c r="B29" s="6">
        <v>127</v>
      </c>
      <c r="C29" s="6">
        <v>63</v>
      </c>
      <c r="D29" s="19">
        <f t="shared" si="0"/>
        <v>127000</v>
      </c>
      <c r="E29" s="6"/>
    </row>
    <row r="30" spans="1:5" x14ac:dyDescent="0.15">
      <c r="A30" s="6">
        <v>65</v>
      </c>
      <c r="B30" s="6">
        <v>422</v>
      </c>
      <c r="C30" s="6">
        <v>65</v>
      </c>
      <c r="D30" s="19">
        <f t="shared" si="0"/>
        <v>422000</v>
      </c>
      <c r="E30" s="6"/>
    </row>
    <row r="31" spans="1:5" x14ac:dyDescent="0.15">
      <c r="A31" s="6">
        <v>53</v>
      </c>
      <c r="B31">
        <v>430</v>
      </c>
      <c r="C31" s="6">
        <v>53</v>
      </c>
      <c r="D31" s="19">
        <f t="shared" si="0"/>
        <v>430000</v>
      </c>
    </row>
    <row r="32" spans="1:5" x14ac:dyDescent="0.15">
      <c r="A32" s="6">
        <v>61</v>
      </c>
      <c r="B32" s="6">
        <v>453</v>
      </c>
      <c r="C32" s="6">
        <v>61</v>
      </c>
      <c r="D32" s="19">
        <f t="shared" si="0"/>
        <v>453000</v>
      </c>
      <c r="E32" s="6"/>
    </row>
    <row r="33" spans="1:8" x14ac:dyDescent="0.15">
      <c r="A33" s="6">
        <v>63</v>
      </c>
      <c r="B33">
        <v>573</v>
      </c>
      <c r="C33" s="6">
        <v>63</v>
      </c>
      <c r="D33" s="19">
        <f t="shared" si="0"/>
        <v>573000</v>
      </c>
    </row>
    <row r="34" spans="1:8" x14ac:dyDescent="0.15">
      <c r="A34" s="6">
        <v>53</v>
      </c>
      <c r="B34">
        <v>609</v>
      </c>
      <c r="C34" s="6">
        <v>53</v>
      </c>
      <c r="D34" s="19">
        <f t="shared" si="0"/>
        <v>609000</v>
      </c>
    </row>
    <row r="35" spans="1:8" x14ac:dyDescent="0.15">
      <c r="A35" s="6">
        <v>53</v>
      </c>
      <c r="B35" s="6">
        <v>769</v>
      </c>
      <c r="C35" s="6">
        <v>53</v>
      </c>
      <c r="D35" s="19">
        <f t="shared" si="0"/>
        <v>769000</v>
      </c>
      <c r="E35" s="6"/>
    </row>
    <row r="36" spans="1:8" x14ac:dyDescent="0.15">
      <c r="A36" s="6">
        <v>70</v>
      </c>
      <c r="B36" s="6">
        <v>370</v>
      </c>
      <c r="C36" s="6">
        <v>70</v>
      </c>
      <c r="D36" s="19">
        <f t="shared" si="0"/>
        <v>370000</v>
      </c>
      <c r="E36" s="6"/>
    </row>
    <row r="37" spans="1:8" x14ac:dyDescent="0.15">
      <c r="A37" s="6">
        <v>63</v>
      </c>
      <c r="B37">
        <v>412</v>
      </c>
      <c r="C37" s="6">
        <v>63</v>
      </c>
      <c r="D37" s="19">
        <f t="shared" si="0"/>
        <v>412000</v>
      </c>
    </row>
    <row r="38" spans="1:8" x14ac:dyDescent="0.15">
      <c r="A38" s="6">
        <v>60</v>
      </c>
      <c r="B38" s="6">
        <v>186</v>
      </c>
      <c r="C38" s="6">
        <v>60</v>
      </c>
      <c r="D38" s="19">
        <f t="shared" si="0"/>
        <v>186000</v>
      </c>
      <c r="E38" s="6"/>
    </row>
    <row r="39" spans="1:8" x14ac:dyDescent="0.15">
      <c r="A39" s="6">
        <v>67</v>
      </c>
      <c r="B39">
        <v>204</v>
      </c>
      <c r="C39" s="6">
        <v>67</v>
      </c>
      <c r="D39" s="19">
        <f t="shared" si="0"/>
        <v>204000</v>
      </c>
    </row>
    <row r="40" spans="1:8" x14ac:dyDescent="0.15">
      <c r="A40" s="6">
        <v>55</v>
      </c>
      <c r="B40">
        <v>98</v>
      </c>
      <c r="C40" s="6">
        <v>55</v>
      </c>
      <c r="D40" s="19">
        <f t="shared" si="0"/>
        <v>98000</v>
      </c>
      <c r="F40" t="s">
        <v>35</v>
      </c>
      <c r="H40" t="s">
        <v>36</v>
      </c>
    </row>
    <row r="41" spans="1:8" x14ac:dyDescent="0.15">
      <c r="A41" s="6">
        <v>62</v>
      </c>
      <c r="B41" s="6">
        <v>252</v>
      </c>
      <c r="C41" s="6">
        <v>62</v>
      </c>
      <c r="D41" s="19">
        <f t="shared" si="0"/>
        <v>252000</v>
      </c>
      <c r="E41" s="6"/>
      <c r="F41">
        <f>CORREL(C2:C81,D2:D81)</f>
        <v>-0.31611425039913388</v>
      </c>
      <c r="H41">
        <f>CORREL(A2:A81,B2:B81)</f>
        <v>-0.31611425039913404</v>
      </c>
    </row>
    <row r="42" spans="1:8" x14ac:dyDescent="0.15">
      <c r="A42" s="6">
        <v>70</v>
      </c>
      <c r="B42" s="6">
        <v>400</v>
      </c>
      <c r="C42" s="6">
        <v>70</v>
      </c>
      <c r="D42" s="19">
        <f t="shared" si="0"/>
        <v>400000</v>
      </c>
      <c r="E42" s="6"/>
    </row>
    <row r="43" spans="1:8" x14ac:dyDescent="0.15">
      <c r="A43" s="6">
        <v>72</v>
      </c>
      <c r="B43">
        <v>308</v>
      </c>
      <c r="C43" s="6">
        <v>72</v>
      </c>
      <c r="D43" s="19">
        <f t="shared" si="0"/>
        <v>308000</v>
      </c>
    </row>
    <row r="44" spans="1:8" x14ac:dyDescent="0.15">
      <c r="A44" s="6">
        <v>67</v>
      </c>
      <c r="B44">
        <v>68</v>
      </c>
      <c r="C44" s="6">
        <v>67</v>
      </c>
      <c r="D44" s="19">
        <f t="shared" si="0"/>
        <v>68000</v>
      </c>
    </row>
    <row r="45" spans="1:8" x14ac:dyDescent="0.15">
      <c r="A45" s="6">
        <v>45</v>
      </c>
      <c r="B45" s="6">
        <v>421</v>
      </c>
      <c r="C45" s="6">
        <v>45</v>
      </c>
      <c r="D45" s="19">
        <f t="shared" si="0"/>
        <v>421000</v>
      </c>
      <c r="E45" s="6"/>
    </row>
    <row r="46" spans="1:8" x14ac:dyDescent="0.15">
      <c r="A46" s="6">
        <v>70</v>
      </c>
      <c r="B46" s="6">
        <v>1234</v>
      </c>
      <c r="C46" s="6">
        <v>70</v>
      </c>
      <c r="D46" s="19">
        <f t="shared" si="0"/>
        <v>1234000</v>
      </c>
      <c r="E46" s="6"/>
    </row>
    <row r="47" spans="1:8" x14ac:dyDescent="0.15">
      <c r="A47" s="6">
        <v>64</v>
      </c>
      <c r="B47" s="6">
        <v>189</v>
      </c>
      <c r="C47" s="6">
        <v>64</v>
      </c>
      <c r="D47" s="19">
        <f t="shared" si="0"/>
        <v>189000</v>
      </c>
      <c r="E47" s="6"/>
    </row>
    <row r="48" spans="1:8" x14ac:dyDescent="0.15">
      <c r="A48" s="6">
        <v>64</v>
      </c>
      <c r="B48" s="6">
        <v>393</v>
      </c>
      <c r="C48" s="6">
        <v>64</v>
      </c>
      <c r="D48" s="19">
        <f t="shared" si="0"/>
        <v>393000</v>
      </c>
      <c r="E48" s="6"/>
    </row>
    <row r="49" spans="1:5" x14ac:dyDescent="0.15">
      <c r="A49" s="6">
        <v>69</v>
      </c>
      <c r="B49">
        <v>914</v>
      </c>
      <c r="C49" s="6">
        <v>69</v>
      </c>
      <c r="D49" s="19">
        <f t="shared" si="0"/>
        <v>914000</v>
      </c>
    </row>
    <row r="50" spans="1:5" x14ac:dyDescent="0.15">
      <c r="A50" s="6">
        <v>59</v>
      </c>
      <c r="B50" s="6">
        <v>190</v>
      </c>
      <c r="C50" s="6">
        <v>59</v>
      </c>
      <c r="D50" s="19">
        <f t="shared" si="0"/>
        <v>190000</v>
      </c>
      <c r="E50" s="6"/>
    </row>
    <row r="51" spans="1:5" x14ac:dyDescent="0.15">
      <c r="A51" s="6">
        <v>70</v>
      </c>
      <c r="B51" s="6">
        <v>573</v>
      </c>
      <c r="C51" s="6">
        <v>70</v>
      </c>
      <c r="D51" s="19">
        <f t="shared" si="0"/>
        <v>573000</v>
      </c>
      <c r="E51" s="6"/>
    </row>
    <row r="52" spans="1:5" x14ac:dyDescent="0.15">
      <c r="A52" s="6">
        <v>71</v>
      </c>
      <c r="B52">
        <v>442</v>
      </c>
      <c r="C52" s="6">
        <v>71</v>
      </c>
      <c r="D52" s="19">
        <f t="shared" si="0"/>
        <v>442000</v>
      </c>
    </row>
    <row r="53" spans="1:5" x14ac:dyDescent="0.15">
      <c r="A53" s="6">
        <v>54</v>
      </c>
      <c r="B53" s="6">
        <v>921</v>
      </c>
      <c r="C53" s="6">
        <v>54</v>
      </c>
      <c r="D53" s="19">
        <f t="shared" si="0"/>
        <v>921000</v>
      </c>
      <c r="E53" s="6"/>
    </row>
    <row r="54" spans="1:5" x14ac:dyDescent="0.15">
      <c r="A54" s="6">
        <v>73</v>
      </c>
      <c r="B54">
        <v>602</v>
      </c>
      <c r="C54" s="6">
        <v>73</v>
      </c>
      <c r="D54" s="19">
        <f t="shared" si="0"/>
        <v>602000</v>
      </c>
    </row>
    <row r="55" spans="1:5" x14ac:dyDescent="0.15">
      <c r="A55" s="6">
        <v>50</v>
      </c>
      <c r="B55" s="6">
        <v>408</v>
      </c>
      <c r="C55" s="6">
        <v>50</v>
      </c>
      <c r="D55" s="19">
        <f t="shared" si="0"/>
        <v>408000</v>
      </c>
      <c r="E55" s="6"/>
    </row>
    <row r="56" spans="1:5" x14ac:dyDescent="0.15">
      <c r="A56" s="6">
        <v>54</v>
      </c>
      <c r="B56" s="6">
        <v>429</v>
      </c>
      <c r="C56" s="6">
        <v>54</v>
      </c>
      <c r="D56" s="19">
        <f t="shared" si="0"/>
        <v>429000</v>
      </c>
      <c r="E56" s="6"/>
    </row>
    <row r="57" spans="1:5" x14ac:dyDescent="0.15">
      <c r="A57" s="6">
        <v>37</v>
      </c>
      <c r="B57" s="6">
        <v>1866</v>
      </c>
      <c r="C57" s="6">
        <v>37</v>
      </c>
      <c r="D57" s="19">
        <f t="shared" si="0"/>
        <v>1866000</v>
      </c>
      <c r="E57" s="6"/>
    </row>
    <row r="58" spans="1:5" x14ac:dyDescent="0.15">
      <c r="A58" s="6">
        <v>61</v>
      </c>
      <c r="B58" s="6">
        <v>609</v>
      </c>
      <c r="C58" s="6">
        <v>61</v>
      </c>
      <c r="D58" s="19">
        <f t="shared" si="0"/>
        <v>609000</v>
      </c>
      <c r="E58" s="6"/>
    </row>
    <row r="59" spans="1:5" x14ac:dyDescent="0.15">
      <c r="A59" s="6">
        <v>58</v>
      </c>
      <c r="B59" s="6">
        <v>435</v>
      </c>
      <c r="C59" s="6">
        <v>58</v>
      </c>
      <c r="D59" s="19">
        <f t="shared" si="0"/>
        <v>435000</v>
      </c>
      <c r="E59" s="6"/>
    </row>
    <row r="60" spans="1:5" x14ac:dyDescent="0.15">
      <c r="A60" s="6">
        <v>55</v>
      </c>
      <c r="B60" s="6">
        <v>1833</v>
      </c>
      <c r="C60" s="6">
        <v>55</v>
      </c>
      <c r="D60" s="19">
        <f t="shared" si="0"/>
        <v>1833000</v>
      </c>
      <c r="E60" s="6"/>
    </row>
    <row r="61" spans="1:5" x14ac:dyDescent="0.15">
      <c r="A61" s="6">
        <v>66</v>
      </c>
      <c r="B61" s="6">
        <v>224</v>
      </c>
      <c r="C61" s="6">
        <v>66</v>
      </c>
      <c r="D61" s="19">
        <f t="shared" si="0"/>
        <v>224000</v>
      </c>
      <c r="E61" s="6"/>
    </row>
    <row r="62" spans="1:5" x14ac:dyDescent="0.15">
      <c r="A62" s="6">
        <v>79</v>
      </c>
      <c r="B62" s="6">
        <v>214</v>
      </c>
      <c r="C62" s="6">
        <v>79</v>
      </c>
      <c r="D62" s="19">
        <f t="shared" si="0"/>
        <v>214000</v>
      </c>
      <c r="E62" s="6"/>
    </row>
    <row r="63" spans="1:5" x14ac:dyDescent="0.15">
      <c r="A63" s="6">
        <v>57</v>
      </c>
      <c r="B63" s="6">
        <v>764</v>
      </c>
      <c r="C63" s="6">
        <v>57</v>
      </c>
      <c r="D63" s="19">
        <f t="shared" si="0"/>
        <v>764000</v>
      </c>
      <c r="E63" s="6"/>
    </row>
    <row r="64" spans="1:5" x14ac:dyDescent="0.15">
      <c r="A64" s="6">
        <v>65</v>
      </c>
      <c r="B64" s="6">
        <v>558</v>
      </c>
      <c r="C64" s="6">
        <v>65</v>
      </c>
      <c r="D64" s="19">
        <f t="shared" si="0"/>
        <v>558000</v>
      </c>
      <c r="E64" s="6"/>
    </row>
    <row r="65" spans="1:5" x14ac:dyDescent="0.15">
      <c r="A65" s="6">
        <v>62</v>
      </c>
      <c r="B65">
        <v>375</v>
      </c>
      <c r="C65" s="6">
        <v>62</v>
      </c>
      <c r="D65" s="19">
        <f t="shared" si="0"/>
        <v>375000</v>
      </c>
    </row>
    <row r="66" spans="1:5" x14ac:dyDescent="0.15">
      <c r="A66" s="6">
        <v>74</v>
      </c>
      <c r="B66">
        <v>420</v>
      </c>
      <c r="C66" s="6">
        <v>74</v>
      </c>
      <c r="D66" s="19">
        <f t="shared" si="0"/>
        <v>420000</v>
      </c>
    </row>
    <row r="67" spans="1:5" x14ac:dyDescent="0.15">
      <c r="A67" s="6">
        <v>63</v>
      </c>
      <c r="B67" s="6">
        <v>154</v>
      </c>
      <c r="C67" s="6">
        <v>63</v>
      </c>
      <c r="D67" s="19">
        <f t="shared" ref="D67:D81" si="1">B67*1000</f>
        <v>154000</v>
      </c>
      <c r="E67" s="6"/>
    </row>
    <row r="68" spans="1:5" x14ac:dyDescent="0.15">
      <c r="A68" s="6">
        <v>54</v>
      </c>
      <c r="B68" s="6">
        <v>126</v>
      </c>
      <c r="C68" s="6">
        <v>54</v>
      </c>
      <c r="D68" s="19">
        <f t="shared" si="1"/>
        <v>126000</v>
      </c>
      <c r="E68" s="6"/>
    </row>
    <row r="69" spans="1:5" x14ac:dyDescent="0.15">
      <c r="A69" s="6">
        <v>57</v>
      </c>
      <c r="B69" s="6">
        <v>316</v>
      </c>
      <c r="C69" s="6">
        <v>57</v>
      </c>
      <c r="D69" s="19">
        <f t="shared" si="1"/>
        <v>316000</v>
      </c>
      <c r="E69" s="6"/>
    </row>
    <row r="70" spans="1:5" x14ac:dyDescent="0.15">
      <c r="A70" s="6">
        <v>59</v>
      </c>
      <c r="B70">
        <v>92</v>
      </c>
      <c r="C70" s="6">
        <v>59</v>
      </c>
      <c r="D70" s="19">
        <f t="shared" si="1"/>
        <v>92000</v>
      </c>
    </row>
    <row r="71" spans="1:5" x14ac:dyDescent="0.15">
      <c r="A71" s="6">
        <v>63</v>
      </c>
      <c r="B71">
        <v>462</v>
      </c>
      <c r="C71" s="6">
        <v>63</v>
      </c>
      <c r="D71" s="19">
        <f t="shared" si="1"/>
        <v>462000</v>
      </c>
    </row>
    <row r="72" spans="1:5" x14ac:dyDescent="0.15">
      <c r="A72" s="6">
        <v>66</v>
      </c>
      <c r="B72" s="6">
        <v>1182</v>
      </c>
      <c r="C72" s="6">
        <v>66</v>
      </c>
      <c r="D72" s="19">
        <f t="shared" si="1"/>
        <v>1182000</v>
      </c>
      <c r="E72" s="6"/>
    </row>
    <row r="73" spans="1:5" x14ac:dyDescent="0.15">
      <c r="A73" s="6">
        <v>45</v>
      </c>
      <c r="B73" s="6">
        <v>964</v>
      </c>
      <c r="C73" s="6">
        <v>45</v>
      </c>
      <c r="D73" s="19">
        <f t="shared" si="1"/>
        <v>964000</v>
      </c>
      <c r="E73" s="6"/>
    </row>
    <row r="74" spans="1:5" x14ac:dyDescent="0.15">
      <c r="A74" s="6">
        <v>59</v>
      </c>
      <c r="B74">
        <v>332</v>
      </c>
      <c r="C74" s="6">
        <v>59</v>
      </c>
      <c r="D74" s="19">
        <f t="shared" si="1"/>
        <v>332000</v>
      </c>
    </row>
    <row r="75" spans="1:5" x14ac:dyDescent="0.15">
      <c r="A75" s="6">
        <v>69</v>
      </c>
      <c r="B75" s="6">
        <v>1422</v>
      </c>
      <c r="C75" s="6">
        <v>69</v>
      </c>
      <c r="D75" s="19">
        <f t="shared" si="1"/>
        <v>1422000</v>
      </c>
      <c r="E75" s="6"/>
    </row>
    <row r="76" spans="1:5" x14ac:dyDescent="0.15">
      <c r="A76" s="6">
        <v>54</v>
      </c>
      <c r="B76" s="6">
        <v>1576</v>
      </c>
      <c r="C76" s="6">
        <v>54</v>
      </c>
      <c r="D76" s="19">
        <f t="shared" si="1"/>
        <v>1576000</v>
      </c>
      <c r="E76" s="6"/>
    </row>
    <row r="77" spans="1:5" x14ac:dyDescent="0.15">
      <c r="A77" s="6">
        <v>60</v>
      </c>
      <c r="B77">
        <v>538</v>
      </c>
      <c r="C77" s="6">
        <v>60</v>
      </c>
      <c r="D77" s="19">
        <f t="shared" si="1"/>
        <v>538000</v>
      </c>
    </row>
    <row r="78" spans="1:5" x14ac:dyDescent="0.15">
      <c r="A78" s="6">
        <v>68</v>
      </c>
      <c r="B78" s="6">
        <v>531</v>
      </c>
      <c r="C78" s="6">
        <v>68</v>
      </c>
      <c r="D78" s="19">
        <f t="shared" si="1"/>
        <v>531000</v>
      </c>
      <c r="E78" s="6"/>
    </row>
    <row r="79" spans="1:5" x14ac:dyDescent="0.15">
      <c r="A79" s="6">
        <v>59</v>
      </c>
      <c r="B79" s="6">
        <v>337</v>
      </c>
      <c r="C79" s="6">
        <v>59</v>
      </c>
      <c r="D79" s="19">
        <f t="shared" si="1"/>
        <v>337000</v>
      </c>
      <c r="E79" s="6"/>
    </row>
    <row r="80" spans="1:5" x14ac:dyDescent="0.15">
      <c r="A80" s="6">
        <v>74</v>
      </c>
      <c r="B80">
        <v>827</v>
      </c>
      <c r="C80" s="6">
        <v>74</v>
      </c>
      <c r="D80" s="19">
        <f t="shared" si="1"/>
        <v>827000</v>
      </c>
    </row>
    <row r="81" spans="1:4" x14ac:dyDescent="0.15">
      <c r="A81" s="6">
        <v>84</v>
      </c>
      <c r="B81">
        <v>226</v>
      </c>
      <c r="C81" s="6">
        <v>84</v>
      </c>
      <c r="D81" s="19">
        <f t="shared" si="1"/>
        <v>226000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B63A-6578-4A46-9442-7286B2E4CDB5}">
  <dimension ref="A1:I18"/>
  <sheetViews>
    <sheetView workbookViewId="0">
      <selection activeCell="K29" sqref="K29"/>
    </sheetView>
  </sheetViews>
  <sheetFormatPr baseColWidth="10" defaultRowHeight="13" x14ac:dyDescent="0.15"/>
  <sheetData>
    <row r="1" spans="1:9" x14ac:dyDescent="0.15">
      <c r="A1" t="s">
        <v>6</v>
      </c>
    </row>
    <row r="2" spans="1:9" ht="14" thickBot="1" x14ac:dyDescent="0.2"/>
    <row r="3" spans="1:9" x14ac:dyDescent="0.15">
      <c r="A3" s="15" t="s">
        <v>7</v>
      </c>
      <c r="B3" s="15"/>
    </row>
    <row r="4" spans="1:9" x14ac:dyDescent="0.15">
      <c r="A4" t="s">
        <v>8</v>
      </c>
      <c r="B4">
        <v>0.31611425039913393</v>
      </c>
    </row>
    <row r="5" spans="1:9" x14ac:dyDescent="0.15">
      <c r="A5" t="s">
        <v>9</v>
      </c>
      <c r="B5">
        <v>9.9928219305406338E-2</v>
      </c>
    </row>
    <row r="6" spans="1:9" x14ac:dyDescent="0.15">
      <c r="A6" t="s">
        <v>10</v>
      </c>
      <c r="B6">
        <v>8.8388837501629486E-2</v>
      </c>
    </row>
    <row r="7" spans="1:9" x14ac:dyDescent="0.15">
      <c r="A7" t="s">
        <v>11</v>
      </c>
      <c r="B7">
        <v>426032.12199807342</v>
      </c>
    </row>
    <row r="8" spans="1:9" ht="14" thickBot="1" x14ac:dyDescent="0.2">
      <c r="A8" s="13" t="s">
        <v>12</v>
      </c>
      <c r="B8" s="13">
        <v>80</v>
      </c>
    </row>
    <row r="10" spans="1:9" ht="14" thickBot="1" x14ac:dyDescent="0.2">
      <c r="A10" t="s">
        <v>13</v>
      </c>
    </row>
    <row r="11" spans="1:9" x14ac:dyDescent="0.15">
      <c r="A11" s="14"/>
      <c r="B11" s="14" t="s">
        <v>18</v>
      </c>
      <c r="C11" s="14" t="s">
        <v>19</v>
      </c>
      <c r="D11" s="14" t="s">
        <v>20</v>
      </c>
      <c r="E11" s="14" t="s">
        <v>21</v>
      </c>
      <c r="F11" s="14" t="s">
        <v>22</v>
      </c>
    </row>
    <row r="12" spans="1:9" x14ac:dyDescent="0.15">
      <c r="A12" t="s">
        <v>14</v>
      </c>
      <c r="B12">
        <v>1</v>
      </c>
      <c r="C12">
        <v>1571774707513.8574</v>
      </c>
      <c r="D12">
        <v>1571774707513.8574</v>
      </c>
      <c r="E12">
        <v>8.6597550028806403</v>
      </c>
      <c r="F12">
        <v>4.2826954399406425E-3</v>
      </c>
    </row>
    <row r="13" spans="1:9" x14ac:dyDescent="0.15">
      <c r="A13" t="s">
        <v>15</v>
      </c>
      <c r="B13">
        <v>78</v>
      </c>
      <c r="C13">
        <v>14157262779986.143</v>
      </c>
      <c r="D13">
        <v>181503368974.1813</v>
      </c>
    </row>
    <row r="14" spans="1:9" ht="14" thickBot="1" x14ac:dyDescent="0.2">
      <c r="A14" s="13" t="s">
        <v>16</v>
      </c>
      <c r="B14" s="13">
        <v>79</v>
      </c>
      <c r="C14" s="13">
        <v>15729037487500</v>
      </c>
      <c r="D14" s="13"/>
      <c r="E14" s="13"/>
      <c r="F14" s="13"/>
    </row>
    <row r="15" spans="1:9" ht="14" thickBot="1" x14ac:dyDescent="0.2"/>
    <row r="16" spans="1:9" x14ac:dyDescent="0.15">
      <c r="A16" s="14"/>
      <c r="B16" s="14" t="s">
        <v>23</v>
      </c>
      <c r="C16" s="14" t="s">
        <v>11</v>
      </c>
      <c r="D16" s="14" t="s">
        <v>24</v>
      </c>
      <c r="E16" s="14" t="s">
        <v>25</v>
      </c>
      <c r="F16" s="14" t="s">
        <v>26</v>
      </c>
      <c r="G16" s="14" t="s">
        <v>27</v>
      </c>
      <c r="H16" s="14" t="s">
        <v>28</v>
      </c>
      <c r="I16" s="14" t="s">
        <v>29</v>
      </c>
    </row>
    <row r="17" spans="1:9" x14ac:dyDescent="0.15">
      <c r="A17" t="s">
        <v>17</v>
      </c>
      <c r="B17">
        <v>1554108.4864504207</v>
      </c>
      <c r="C17">
        <v>350965.29877105716</v>
      </c>
      <c r="D17">
        <v>4.428097284524422</v>
      </c>
      <c r="E17">
        <v>3.0572100814038844E-5</v>
      </c>
      <c r="F17">
        <v>855390.25013744179</v>
      </c>
      <c r="G17">
        <v>2252826.7227633996</v>
      </c>
      <c r="H17">
        <v>855390.25013744179</v>
      </c>
      <c r="I17">
        <v>2252826.7227633996</v>
      </c>
    </row>
    <row r="18" spans="1:9" ht="14" thickBot="1" x14ac:dyDescent="0.2">
      <c r="A18" s="13" t="s">
        <v>2</v>
      </c>
      <c r="B18" s="13">
        <v>-16398.172859782386</v>
      </c>
      <c r="C18" s="13">
        <v>5572.404797993463</v>
      </c>
      <c r="D18" s="13">
        <v>-2.9427461669129125</v>
      </c>
      <c r="E18" s="13">
        <v>4.2826954399406182E-3</v>
      </c>
      <c r="F18" s="13">
        <v>-27491.978618099882</v>
      </c>
      <c r="G18" s="13">
        <v>-5304.3671014648917</v>
      </c>
      <c r="H18" s="13">
        <v>-27491.978618099882</v>
      </c>
      <c r="I18" s="13">
        <v>-5304.3671014648917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4DCD6-44DD-E449-9F69-6FCBC6FF75C1}">
  <dimension ref="A1:I21"/>
  <sheetViews>
    <sheetView workbookViewId="0">
      <selection activeCell="I28" sqref="I28"/>
    </sheetView>
  </sheetViews>
  <sheetFormatPr baseColWidth="10" defaultRowHeight="13" x14ac:dyDescent="0.15"/>
  <sheetData>
    <row r="1" spans="1:9" x14ac:dyDescent="0.15">
      <c r="A1" s="35" t="s">
        <v>6</v>
      </c>
      <c r="B1" s="35"/>
      <c r="C1" s="35"/>
      <c r="D1" s="35"/>
      <c r="E1" s="35"/>
      <c r="F1" s="35"/>
      <c r="G1" s="35"/>
      <c r="H1" s="35"/>
      <c r="I1" s="35"/>
    </row>
    <row r="2" spans="1:9" ht="14" thickBot="1" x14ac:dyDescent="0.2">
      <c r="A2" s="35"/>
      <c r="B2" s="35"/>
      <c r="C2" s="35"/>
      <c r="D2" s="35"/>
      <c r="E2" s="35"/>
      <c r="F2" s="35"/>
      <c r="G2" s="35"/>
      <c r="H2" s="35"/>
      <c r="I2" s="35"/>
    </row>
    <row r="3" spans="1:9" x14ac:dyDescent="0.15">
      <c r="A3" s="36" t="s">
        <v>7</v>
      </c>
      <c r="B3" s="36"/>
      <c r="C3" s="35"/>
      <c r="D3" s="35"/>
      <c r="E3" s="35"/>
      <c r="F3" s="35"/>
      <c r="G3" s="35"/>
      <c r="H3" s="35"/>
      <c r="I3" s="35"/>
    </row>
    <row r="4" spans="1:9" x14ac:dyDescent="0.15">
      <c r="A4" s="35" t="s">
        <v>8</v>
      </c>
      <c r="B4" s="35">
        <v>0.58174642062989812</v>
      </c>
      <c r="C4" s="35"/>
      <c r="D4" s="35"/>
      <c r="E4" s="35" t="s">
        <v>37</v>
      </c>
      <c r="F4" s="35"/>
      <c r="G4" s="35"/>
      <c r="H4" s="35"/>
      <c r="I4" s="35"/>
    </row>
    <row r="5" spans="1:9" x14ac:dyDescent="0.15">
      <c r="A5" s="35" t="s">
        <v>9</v>
      </c>
      <c r="B5" s="35">
        <v>0.33842889791569836</v>
      </c>
      <c r="C5" s="35"/>
      <c r="D5" s="35"/>
      <c r="E5" s="35"/>
      <c r="F5" s="35"/>
      <c r="G5" s="35"/>
      <c r="H5" s="35"/>
      <c r="I5" s="35"/>
    </row>
    <row r="6" spans="1:9" x14ac:dyDescent="0.15">
      <c r="A6" s="35" t="s">
        <v>10</v>
      </c>
      <c r="B6" s="35">
        <v>0.32994721711974578</v>
      </c>
      <c r="C6" s="35"/>
      <c r="D6" s="35"/>
      <c r="E6" s="35"/>
      <c r="F6" s="35"/>
      <c r="G6" s="35"/>
      <c r="H6" s="35"/>
      <c r="I6" s="35"/>
    </row>
    <row r="7" spans="1:9" x14ac:dyDescent="0.15">
      <c r="A7" s="35" t="s">
        <v>11</v>
      </c>
      <c r="B7" s="35">
        <v>365251.5231953825</v>
      </c>
      <c r="C7" s="35"/>
      <c r="D7" s="35"/>
      <c r="E7" s="35"/>
      <c r="F7" s="35"/>
      <c r="G7" s="35"/>
      <c r="H7" s="35"/>
      <c r="I7" s="35"/>
    </row>
    <row r="8" spans="1:9" ht="14" thickBot="1" x14ac:dyDescent="0.2">
      <c r="A8" s="37" t="s">
        <v>12</v>
      </c>
      <c r="B8" s="37">
        <v>80</v>
      </c>
      <c r="C8" s="35"/>
      <c r="D8" s="35"/>
      <c r="E8" s="35"/>
      <c r="F8" s="35"/>
      <c r="G8" s="35"/>
      <c r="H8" s="35"/>
      <c r="I8" s="35"/>
    </row>
    <row r="9" spans="1:9" x14ac:dyDescent="0.15">
      <c r="A9" s="35"/>
      <c r="B9" s="35"/>
      <c r="C9" s="35"/>
      <c r="D9" s="35"/>
      <c r="E9" s="35"/>
      <c r="F9" s="35"/>
      <c r="G9" s="35"/>
      <c r="H9" s="35"/>
      <c r="I9" s="35"/>
    </row>
    <row r="10" spans="1:9" ht="14" thickBot="1" x14ac:dyDescent="0.2">
      <c r="A10" s="35" t="s">
        <v>13</v>
      </c>
      <c r="B10" s="35"/>
      <c r="C10" s="35"/>
      <c r="D10" s="35"/>
      <c r="E10" s="35"/>
      <c r="F10" s="35"/>
      <c r="G10" s="35"/>
      <c r="H10" s="35"/>
      <c r="I10" s="35"/>
    </row>
    <row r="11" spans="1:9" x14ac:dyDescent="0.15">
      <c r="A11" s="38"/>
      <c r="B11" s="38" t="s">
        <v>18</v>
      </c>
      <c r="C11" s="38" t="s">
        <v>19</v>
      </c>
      <c r="D11" s="38" t="s">
        <v>20</v>
      </c>
      <c r="E11" s="38" t="s">
        <v>21</v>
      </c>
      <c r="F11" s="38" t="s">
        <v>22</v>
      </c>
      <c r="G11" s="35"/>
      <c r="H11" s="35"/>
      <c r="I11" s="35"/>
    </row>
    <row r="12" spans="1:9" x14ac:dyDescent="0.15">
      <c r="A12" s="35" t="s">
        <v>14</v>
      </c>
      <c r="B12" s="35">
        <v>1</v>
      </c>
      <c r="C12" s="35">
        <v>5323160822169.3301</v>
      </c>
      <c r="D12" s="35">
        <v>5323160822169.3301</v>
      </c>
      <c r="E12" s="35">
        <v>39.901159458535027</v>
      </c>
      <c r="F12" s="35">
        <v>1.5212711928435231E-8</v>
      </c>
      <c r="G12" s="35"/>
      <c r="H12" s="35"/>
      <c r="I12" s="35"/>
    </row>
    <row r="13" spans="1:9" x14ac:dyDescent="0.15">
      <c r="A13" s="35" t="s">
        <v>15</v>
      </c>
      <c r="B13" s="35">
        <v>78</v>
      </c>
      <c r="C13" s="35">
        <v>10405876665330.67</v>
      </c>
      <c r="D13" s="35">
        <v>133408675196.54704</v>
      </c>
      <c r="E13" s="35"/>
      <c r="F13" s="35"/>
      <c r="G13" s="35"/>
      <c r="H13" s="35"/>
      <c r="I13" s="35"/>
    </row>
    <row r="14" spans="1:9" ht="14" thickBot="1" x14ac:dyDescent="0.2">
      <c r="A14" s="37" t="s">
        <v>16</v>
      </c>
      <c r="B14" s="37">
        <v>79</v>
      </c>
      <c r="C14" s="37">
        <v>15729037487500</v>
      </c>
      <c r="D14" s="37"/>
      <c r="E14" s="37"/>
      <c r="F14" s="37"/>
      <c r="G14" s="35"/>
      <c r="H14" s="35"/>
      <c r="I14" s="35"/>
    </row>
    <row r="15" spans="1:9" ht="14" thickBot="1" x14ac:dyDescent="0.2">
      <c r="A15" s="35"/>
      <c r="B15" s="35"/>
      <c r="C15" s="35"/>
      <c r="D15" s="35"/>
      <c r="E15" s="35"/>
      <c r="F15" s="35"/>
      <c r="G15" s="35"/>
      <c r="H15" s="35"/>
      <c r="I15" s="35"/>
    </row>
    <row r="16" spans="1:9" x14ac:dyDescent="0.15">
      <c r="A16" s="38"/>
      <c r="B16" s="38" t="s">
        <v>23</v>
      </c>
      <c r="C16" s="38" t="s">
        <v>11</v>
      </c>
      <c r="D16" s="38" t="s">
        <v>24</v>
      </c>
      <c r="E16" s="38" t="s">
        <v>25</v>
      </c>
      <c r="F16" s="38" t="s">
        <v>26</v>
      </c>
      <c r="G16" s="38" t="s">
        <v>27</v>
      </c>
      <c r="H16" s="38" t="s">
        <v>28</v>
      </c>
      <c r="I16" s="38" t="s">
        <v>29</v>
      </c>
    </row>
    <row r="17" spans="1:9" x14ac:dyDescent="0.15">
      <c r="A17" s="35" t="s">
        <v>17</v>
      </c>
      <c r="B17" s="35">
        <v>-1741569.3315204326</v>
      </c>
      <c r="C17" s="35">
        <v>362058.09467268497</v>
      </c>
      <c r="D17" s="35">
        <v>-4.8101930522914591</v>
      </c>
      <c r="E17" s="35">
        <v>7.2129240299749923E-6</v>
      </c>
      <c r="F17" s="35">
        <v>-2462371.6280390937</v>
      </c>
      <c r="G17" s="35">
        <v>-1020767.0350017716</v>
      </c>
      <c r="H17" s="35">
        <v>-2462371.6280390937</v>
      </c>
      <c r="I17" s="35">
        <v>-1020767.0350017716</v>
      </c>
    </row>
    <row r="18" spans="1:9" ht="14" thickBot="1" x14ac:dyDescent="0.2">
      <c r="A18" s="37" t="s">
        <v>3</v>
      </c>
      <c r="B18" s="37">
        <v>32.249657895306918</v>
      </c>
      <c r="C18" s="37">
        <v>5.1054303307315809</v>
      </c>
      <c r="D18" s="37">
        <v>6.3167364563146853</v>
      </c>
      <c r="E18" s="37">
        <v>1.5212711928435231E-8</v>
      </c>
      <c r="F18" s="37">
        <v>22.085526886347644</v>
      </c>
      <c r="G18" s="37">
        <v>42.413788904266191</v>
      </c>
      <c r="H18" s="37">
        <v>22.085526886347644</v>
      </c>
      <c r="I18" s="37">
        <v>42.413788904266191</v>
      </c>
    </row>
    <row r="19" spans="1:9" x14ac:dyDescent="0.15">
      <c r="A19" s="35"/>
      <c r="B19" s="35"/>
      <c r="C19" s="35"/>
      <c r="D19" s="35"/>
      <c r="E19" s="35"/>
      <c r="F19" s="35"/>
      <c r="G19" s="35"/>
      <c r="H19" s="35"/>
      <c r="I19" s="35"/>
    </row>
    <row r="20" spans="1:9" x14ac:dyDescent="0.15">
      <c r="A20" s="35"/>
      <c r="B20" s="35"/>
      <c r="C20" s="35"/>
      <c r="D20" s="35"/>
      <c r="E20" s="35"/>
      <c r="F20" s="35"/>
      <c r="G20" s="35"/>
      <c r="H20" s="35"/>
      <c r="I20" s="35"/>
    </row>
    <row r="21" spans="1:9" x14ac:dyDescent="0.15">
      <c r="A21" s="35"/>
      <c r="B21" s="35"/>
      <c r="C21" s="35"/>
      <c r="D21" s="35"/>
      <c r="E21" s="35"/>
      <c r="F21" s="35"/>
      <c r="G21" s="35"/>
      <c r="H21" s="35"/>
      <c r="I21" s="3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84B40-A4EE-AF41-988F-4B3B443CC9C2}">
  <dimension ref="A1:I104"/>
  <sheetViews>
    <sheetView workbookViewId="0">
      <selection activeCell="I6" sqref="I6"/>
    </sheetView>
  </sheetViews>
  <sheetFormatPr baseColWidth="10" defaultRowHeight="13" x14ac:dyDescent="0.15"/>
  <cols>
    <col min="5" max="5" width="20.83203125" bestFit="1" customWidth="1"/>
  </cols>
  <sheetData>
    <row r="1" spans="1:9" x14ac:dyDescent="0.15">
      <c r="A1" t="s">
        <v>6</v>
      </c>
    </row>
    <row r="2" spans="1:9" ht="14" thickBot="1" x14ac:dyDescent="0.2"/>
    <row r="3" spans="1:9" x14ac:dyDescent="0.15">
      <c r="A3" s="15" t="s">
        <v>7</v>
      </c>
      <c r="B3" s="15"/>
    </row>
    <row r="4" spans="1:9" x14ac:dyDescent="0.15">
      <c r="A4" t="s">
        <v>8</v>
      </c>
      <c r="B4">
        <v>0.58174642062989812</v>
      </c>
    </row>
    <row r="5" spans="1:9" x14ac:dyDescent="0.15">
      <c r="A5" t="s">
        <v>9</v>
      </c>
      <c r="B5">
        <v>0.33842889791569836</v>
      </c>
    </row>
    <row r="6" spans="1:9" x14ac:dyDescent="0.15">
      <c r="A6" t="s">
        <v>10</v>
      </c>
      <c r="B6">
        <v>0.32994721711974578</v>
      </c>
    </row>
    <row r="7" spans="1:9" x14ac:dyDescent="0.15">
      <c r="A7" t="s">
        <v>11</v>
      </c>
      <c r="B7">
        <v>365251.5231953825</v>
      </c>
    </row>
    <row r="8" spans="1:9" ht="14" thickBot="1" x14ac:dyDescent="0.2">
      <c r="A8" s="13" t="s">
        <v>12</v>
      </c>
      <c r="B8" s="13">
        <v>80</v>
      </c>
    </row>
    <row r="10" spans="1:9" ht="14" thickBot="1" x14ac:dyDescent="0.2">
      <c r="A10" t="s">
        <v>13</v>
      </c>
    </row>
    <row r="11" spans="1:9" x14ac:dyDescent="0.15">
      <c r="A11" s="14"/>
      <c r="B11" s="14" t="s">
        <v>18</v>
      </c>
      <c r="C11" s="14" t="s">
        <v>19</v>
      </c>
      <c r="D11" s="14" t="s">
        <v>20</v>
      </c>
      <c r="E11" s="14" t="s">
        <v>21</v>
      </c>
      <c r="F11" s="14" t="s">
        <v>22</v>
      </c>
    </row>
    <row r="12" spans="1:9" x14ac:dyDescent="0.15">
      <c r="A12" t="s">
        <v>14</v>
      </c>
      <c r="B12">
        <v>1</v>
      </c>
      <c r="C12">
        <v>5323160822169.3301</v>
      </c>
      <c r="D12">
        <v>5323160822169.3301</v>
      </c>
      <c r="E12">
        <v>39.901159458535027</v>
      </c>
      <c r="F12">
        <v>1.5212711928435231E-8</v>
      </c>
    </row>
    <row r="13" spans="1:9" x14ac:dyDescent="0.15">
      <c r="A13" t="s">
        <v>15</v>
      </c>
      <c r="B13">
        <v>78</v>
      </c>
      <c r="C13">
        <v>10405876665330.67</v>
      </c>
      <c r="D13">
        <v>133408675196.54704</v>
      </c>
    </row>
    <row r="14" spans="1:9" ht="14" thickBot="1" x14ac:dyDescent="0.2">
      <c r="A14" s="13" t="s">
        <v>16</v>
      </c>
      <c r="B14" s="13">
        <v>79</v>
      </c>
      <c r="C14" s="13">
        <v>15729037487500</v>
      </c>
      <c r="D14" s="13"/>
      <c r="E14" s="13"/>
      <c r="F14" s="13"/>
    </row>
    <row r="15" spans="1:9" ht="14" thickBot="1" x14ac:dyDescent="0.2"/>
    <row r="16" spans="1:9" x14ac:dyDescent="0.15">
      <c r="A16" s="14"/>
      <c r="B16" s="14" t="s">
        <v>23</v>
      </c>
      <c r="C16" s="14" t="s">
        <v>11</v>
      </c>
      <c r="D16" s="14" t="s">
        <v>24</v>
      </c>
      <c r="E16" s="14" t="s">
        <v>25</v>
      </c>
      <c r="F16" s="14" t="s">
        <v>26</v>
      </c>
      <c r="G16" s="14" t="s">
        <v>27</v>
      </c>
      <c r="H16" s="14" t="s">
        <v>38</v>
      </c>
      <c r="I16" s="14" t="s">
        <v>39</v>
      </c>
    </row>
    <row r="17" spans="1:9" x14ac:dyDescent="0.15">
      <c r="A17" t="s">
        <v>17</v>
      </c>
      <c r="B17">
        <v>-1741569.3315204326</v>
      </c>
      <c r="C17">
        <v>362058.09467268497</v>
      </c>
      <c r="D17">
        <v>-4.8101930522914591</v>
      </c>
      <c r="E17">
        <v>7.2129240299749923E-6</v>
      </c>
      <c r="F17">
        <v>-2462371.6280390937</v>
      </c>
      <c r="G17">
        <v>-1020767.0350017716</v>
      </c>
      <c r="H17">
        <v>-2344260.1586556924</v>
      </c>
      <c r="I17">
        <v>-1138878.5043851731</v>
      </c>
    </row>
    <row r="18" spans="1:9" ht="14" thickBot="1" x14ac:dyDescent="0.2">
      <c r="A18" s="13" t="s">
        <v>3</v>
      </c>
      <c r="B18" s="13">
        <v>32.249657895306918</v>
      </c>
      <c r="C18" s="13">
        <v>5.1054303307315809</v>
      </c>
      <c r="D18" s="13">
        <v>6.3167364563146853</v>
      </c>
      <c r="E18" s="13">
        <v>1.5212711928435231E-8</v>
      </c>
      <c r="F18" s="13">
        <v>22.085526886347644</v>
      </c>
      <c r="G18" s="13">
        <v>42.413788904266191</v>
      </c>
      <c r="H18" s="13">
        <v>23.751032745959584</v>
      </c>
      <c r="I18" s="13">
        <v>40.748283044654251</v>
      </c>
    </row>
    <row r="20" spans="1:9" x14ac:dyDescent="0.15">
      <c r="D20">
        <f>ROUND(D18,3)</f>
        <v>6.3170000000000002</v>
      </c>
      <c r="E20" s="39">
        <f>E18</f>
        <v>1.5212711928435231E-8</v>
      </c>
    </row>
    <row r="22" spans="1:9" x14ac:dyDescent="0.15">
      <c r="A22" t="s">
        <v>40</v>
      </c>
    </row>
    <row r="23" spans="1:9" ht="14" thickBot="1" x14ac:dyDescent="0.2"/>
    <row r="24" spans="1:9" x14ac:dyDescent="0.15">
      <c r="A24" s="14" t="s">
        <v>41</v>
      </c>
      <c r="B24" s="14" t="s">
        <v>42</v>
      </c>
      <c r="C24" s="14" t="s">
        <v>43</v>
      </c>
    </row>
    <row r="25" spans="1:9" x14ac:dyDescent="0.15">
      <c r="A25">
        <v>1</v>
      </c>
      <c r="B25">
        <v>1122200.2895828218</v>
      </c>
      <c r="C25">
        <v>-110200.28958282177</v>
      </c>
    </row>
    <row r="26" spans="1:9" x14ac:dyDescent="0.15">
      <c r="A26">
        <v>2</v>
      </c>
      <c r="B26">
        <v>341758.56851639401</v>
      </c>
      <c r="C26">
        <v>-94758.568516394007</v>
      </c>
    </row>
    <row r="27" spans="1:9" x14ac:dyDescent="0.15">
      <c r="A27">
        <v>3</v>
      </c>
      <c r="B27">
        <v>148260.62114455277</v>
      </c>
      <c r="C27">
        <v>86739.378855447227</v>
      </c>
    </row>
    <row r="28" spans="1:9" x14ac:dyDescent="0.15">
      <c r="A28">
        <v>4</v>
      </c>
      <c r="B28">
        <v>99886.134301592378</v>
      </c>
      <c r="C28">
        <v>-20886.134301592378</v>
      </c>
    </row>
    <row r="29" spans="1:9" x14ac:dyDescent="0.15">
      <c r="A29">
        <v>5</v>
      </c>
      <c r="B29">
        <v>754554.18957632279</v>
      </c>
      <c r="C29">
        <v>-631554.18957632279</v>
      </c>
    </row>
    <row r="30" spans="1:9" x14ac:dyDescent="0.15">
      <c r="A30">
        <v>6</v>
      </c>
      <c r="B30">
        <v>122460.89482830722</v>
      </c>
      <c r="C30">
        <v>-57460.894828307224</v>
      </c>
    </row>
    <row r="31" spans="1:9" x14ac:dyDescent="0.15">
      <c r="A31">
        <v>7</v>
      </c>
      <c r="B31">
        <v>515906.72115105164</v>
      </c>
      <c r="C31">
        <v>114093.27884894836</v>
      </c>
    </row>
    <row r="32" spans="1:9" x14ac:dyDescent="0.15">
      <c r="A32">
        <v>8</v>
      </c>
      <c r="B32">
        <v>315958.84220014873</v>
      </c>
      <c r="C32">
        <v>185041.15779985127</v>
      </c>
    </row>
    <row r="33" spans="1:3" x14ac:dyDescent="0.15">
      <c r="A33">
        <v>9</v>
      </c>
      <c r="B33">
        <v>790028.81326116039</v>
      </c>
      <c r="C33">
        <v>-590028.81326116039</v>
      </c>
    </row>
    <row r="34" spans="1:3" x14ac:dyDescent="0.15">
      <c r="A34">
        <v>10</v>
      </c>
      <c r="B34">
        <v>506231.82378245954</v>
      </c>
      <c r="C34">
        <v>72768.176217540458</v>
      </c>
    </row>
    <row r="35" spans="1:3" x14ac:dyDescent="0.15">
      <c r="A35">
        <v>11</v>
      </c>
      <c r="B35">
        <v>438507.542202315</v>
      </c>
      <c r="C35">
        <v>72492.457797684998</v>
      </c>
    </row>
    <row r="36" spans="1:3" x14ac:dyDescent="0.15">
      <c r="A36">
        <v>12</v>
      </c>
      <c r="B36">
        <v>719079.5658914852</v>
      </c>
      <c r="C36">
        <v>-132079.5658914852</v>
      </c>
    </row>
    <row r="37" spans="1:3" x14ac:dyDescent="0.15">
      <c r="A37">
        <v>13</v>
      </c>
      <c r="B37">
        <v>403032.9185174774</v>
      </c>
      <c r="C37">
        <v>-4032.9185174774029</v>
      </c>
    </row>
    <row r="38" spans="1:3" x14ac:dyDescent="0.15">
      <c r="A38">
        <v>14</v>
      </c>
      <c r="B38">
        <v>254684.4921990656</v>
      </c>
      <c r="C38">
        <v>-19684.4921990656</v>
      </c>
    </row>
    <row r="39" spans="1:3" x14ac:dyDescent="0.15">
      <c r="A39">
        <v>15</v>
      </c>
      <c r="B39">
        <v>1009326.4869492474</v>
      </c>
      <c r="C39">
        <v>857673.51305075258</v>
      </c>
    </row>
    <row r="40" spans="1:3" x14ac:dyDescent="0.15">
      <c r="A40">
        <v>16</v>
      </c>
      <c r="B40">
        <v>551381.34483588918</v>
      </c>
      <c r="C40">
        <v>-321381.34483588918</v>
      </c>
    </row>
    <row r="41" spans="1:3" x14ac:dyDescent="0.15">
      <c r="A41">
        <v>17</v>
      </c>
      <c r="B41">
        <v>132135.7921968993</v>
      </c>
      <c r="C41">
        <v>-44135.792196899303</v>
      </c>
    </row>
    <row r="42" spans="1:3" x14ac:dyDescent="0.15">
      <c r="A42">
        <v>18</v>
      </c>
      <c r="B42">
        <v>293384.08167343389</v>
      </c>
      <c r="C42">
        <v>-131384.08167343389</v>
      </c>
    </row>
    <row r="43" spans="1:3" x14ac:dyDescent="0.15">
      <c r="A43">
        <v>19</v>
      </c>
      <c r="B43">
        <v>867427.99220989703</v>
      </c>
      <c r="C43">
        <v>898572.00779010297</v>
      </c>
    </row>
    <row r="44" spans="1:3" x14ac:dyDescent="0.15">
      <c r="A44">
        <v>20</v>
      </c>
      <c r="B44">
        <v>406257.88430700812</v>
      </c>
      <c r="C44">
        <v>16742.11569299188</v>
      </c>
    </row>
    <row r="45" spans="1:3" x14ac:dyDescent="0.15">
      <c r="A45">
        <v>21</v>
      </c>
      <c r="B45">
        <v>1031901.2474759623</v>
      </c>
      <c r="C45">
        <v>-72901.247475962271</v>
      </c>
    </row>
    <row r="46" spans="1:3" x14ac:dyDescent="0.15">
      <c r="A46">
        <v>22</v>
      </c>
      <c r="B46">
        <v>374008.22641170118</v>
      </c>
      <c r="C46">
        <v>-309008.22641170118</v>
      </c>
    </row>
    <row r="47" spans="1:3" x14ac:dyDescent="0.15">
      <c r="A47">
        <v>23</v>
      </c>
      <c r="B47">
        <v>16037.023773794397</v>
      </c>
      <c r="C47">
        <v>66962.976226205603</v>
      </c>
    </row>
    <row r="48" spans="1:3" x14ac:dyDescent="0.15">
      <c r="A48">
        <v>24</v>
      </c>
      <c r="B48">
        <v>557831.27641495061</v>
      </c>
      <c r="C48">
        <v>-409831.27641495061</v>
      </c>
    </row>
    <row r="49" spans="1:3" x14ac:dyDescent="0.15">
      <c r="A49">
        <v>25</v>
      </c>
      <c r="B49">
        <v>496556.92641386745</v>
      </c>
      <c r="C49">
        <v>-181556.92641386745</v>
      </c>
    </row>
    <row r="50" spans="1:3" x14ac:dyDescent="0.15">
      <c r="A50">
        <v>26</v>
      </c>
      <c r="B50">
        <v>825503.43694599799</v>
      </c>
      <c r="C50">
        <v>483496.56305400201</v>
      </c>
    </row>
    <row r="51" spans="1:3" x14ac:dyDescent="0.15">
      <c r="A51">
        <v>27</v>
      </c>
      <c r="B51">
        <v>548156.37904635852</v>
      </c>
      <c r="C51">
        <v>322843.62095364148</v>
      </c>
    </row>
    <row r="52" spans="1:3" x14ac:dyDescent="0.15">
      <c r="A52">
        <v>28</v>
      </c>
      <c r="B52">
        <v>206310.00535610522</v>
      </c>
      <c r="C52">
        <v>-79310.005356105219</v>
      </c>
    </row>
    <row r="53" spans="1:3" x14ac:dyDescent="0.15">
      <c r="A53">
        <v>29</v>
      </c>
      <c r="B53">
        <v>380458.15799076256</v>
      </c>
      <c r="C53">
        <v>41541.842009237444</v>
      </c>
    </row>
    <row r="54" spans="1:3" x14ac:dyDescent="0.15">
      <c r="A54">
        <v>30</v>
      </c>
      <c r="B54">
        <v>577181.0711521348</v>
      </c>
      <c r="C54">
        <v>-147181.0711521348</v>
      </c>
    </row>
    <row r="55" spans="1:3" x14ac:dyDescent="0.15">
      <c r="A55">
        <v>31</v>
      </c>
      <c r="B55">
        <v>599755.83167884964</v>
      </c>
      <c r="C55">
        <v>-146755.83167884964</v>
      </c>
    </row>
    <row r="56" spans="1:3" x14ac:dyDescent="0.15">
      <c r="A56">
        <v>32</v>
      </c>
      <c r="B56">
        <v>806153.64220881392</v>
      </c>
      <c r="C56">
        <v>-233153.64220881392</v>
      </c>
    </row>
    <row r="57" spans="1:3" x14ac:dyDescent="0.15">
      <c r="A57">
        <v>33</v>
      </c>
      <c r="B57">
        <v>619105.62641603372</v>
      </c>
      <c r="C57">
        <v>-10105.626416033716</v>
      </c>
    </row>
    <row r="58" spans="1:3" x14ac:dyDescent="0.15">
      <c r="A58">
        <v>34</v>
      </c>
      <c r="B58">
        <v>954502.06852722575</v>
      </c>
      <c r="C58">
        <v>-185502.06852722575</v>
      </c>
    </row>
    <row r="59" spans="1:3" x14ac:dyDescent="0.15">
      <c r="A59">
        <v>35</v>
      </c>
      <c r="B59">
        <v>412707.8158860695</v>
      </c>
      <c r="C59">
        <v>-42707.815886069497</v>
      </c>
    </row>
    <row r="60" spans="1:3" x14ac:dyDescent="0.15">
      <c r="A60">
        <v>36</v>
      </c>
      <c r="B60">
        <v>809378.60799834458</v>
      </c>
      <c r="C60">
        <v>-397378.60799834458</v>
      </c>
    </row>
    <row r="61" spans="1:3" x14ac:dyDescent="0.15">
      <c r="A61">
        <v>37</v>
      </c>
      <c r="B61">
        <v>193410.14219798244</v>
      </c>
      <c r="C61">
        <v>-7410.1421979824372</v>
      </c>
    </row>
    <row r="62" spans="1:3" x14ac:dyDescent="0.15">
      <c r="A62">
        <v>38</v>
      </c>
      <c r="B62">
        <v>902902.61589473463</v>
      </c>
      <c r="C62">
        <v>-698902.61589473463</v>
      </c>
    </row>
    <row r="63" spans="1:3" x14ac:dyDescent="0.15">
      <c r="A63">
        <v>39</v>
      </c>
      <c r="B63">
        <v>425607.67904419225</v>
      </c>
      <c r="C63">
        <v>-327607.67904419225</v>
      </c>
    </row>
    <row r="64" spans="1:3" x14ac:dyDescent="0.15">
      <c r="A64">
        <v>40</v>
      </c>
      <c r="B64">
        <v>222434.83430375866</v>
      </c>
      <c r="C64">
        <v>29565.16569624134</v>
      </c>
    </row>
    <row r="65" spans="1:3" x14ac:dyDescent="0.15">
      <c r="A65">
        <v>41</v>
      </c>
      <c r="B65">
        <v>499781.89220339817</v>
      </c>
      <c r="C65">
        <v>-99781.892203398165</v>
      </c>
    </row>
    <row r="66" spans="1:3" x14ac:dyDescent="0.15">
      <c r="A66">
        <v>42</v>
      </c>
      <c r="B66">
        <v>506231.82378245954</v>
      </c>
      <c r="C66">
        <v>-198231.82378245954</v>
      </c>
    </row>
    <row r="67" spans="1:3" x14ac:dyDescent="0.15">
      <c r="A67">
        <v>43</v>
      </c>
      <c r="B67">
        <v>490106.99483480607</v>
      </c>
      <c r="C67">
        <v>-422106.99483480607</v>
      </c>
    </row>
    <row r="68" spans="1:3" x14ac:dyDescent="0.15">
      <c r="A68">
        <v>44</v>
      </c>
      <c r="B68">
        <v>796478.74484022183</v>
      </c>
      <c r="C68">
        <v>-375478.74484022183</v>
      </c>
    </row>
    <row r="69" spans="1:3" x14ac:dyDescent="0.15">
      <c r="A69">
        <v>45</v>
      </c>
      <c r="B69">
        <v>722304.53168101585</v>
      </c>
      <c r="C69">
        <v>511695.46831898415</v>
      </c>
    </row>
    <row r="70" spans="1:3" x14ac:dyDescent="0.15">
      <c r="A70">
        <v>46</v>
      </c>
      <c r="B70">
        <v>264359.38956765766</v>
      </c>
      <c r="C70">
        <v>-75359.389567657665</v>
      </c>
    </row>
    <row r="71" spans="1:3" x14ac:dyDescent="0.15">
      <c r="A71">
        <v>47</v>
      </c>
      <c r="B71">
        <v>667480.11325899418</v>
      </c>
      <c r="C71">
        <v>-274480.11325899418</v>
      </c>
    </row>
    <row r="72" spans="1:3" x14ac:dyDescent="0.15">
      <c r="A72">
        <v>48</v>
      </c>
      <c r="B72">
        <v>393358.02114888531</v>
      </c>
      <c r="C72">
        <v>520641.97885111469</v>
      </c>
    </row>
    <row r="73" spans="1:3" x14ac:dyDescent="0.15">
      <c r="A73">
        <v>49</v>
      </c>
      <c r="B73">
        <v>664255.14746946341</v>
      </c>
      <c r="C73">
        <v>-474255.14746946341</v>
      </c>
    </row>
    <row r="74" spans="1:3" x14ac:dyDescent="0.15">
      <c r="A74">
        <v>50</v>
      </c>
      <c r="B74">
        <v>222434.83430375866</v>
      </c>
      <c r="C74">
        <v>350565.16569624131</v>
      </c>
    </row>
    <row r="75" spans="1:3" x14ac:dyDescent="0.15">
      <c r="A75">
        <v>51</v>
      </c>
      <c r="B75">
        <v>506231.82378245954</v>
      </c>
      <c r="C75">
        <v>-64231.823782459542</v>
      </c>
    </row>
    <row r="76" spans="1:3" x14ac:dyDescent="0.15">
      <c r="A76">
        <v>52</v>
      </c>
      <c r="B76">
        <v>890002.75273661187</v>
      </c>
      <c r="C76">
        <v>30997.247263388126</v>
      </c>
    </row>
    <row r="77" spans="1:3" x14ac:dyDescent="0.15">
      <c r="A77">
        <v>53</v>
      </c>
      <c r="B77">
        <v>348208.50009545567</v>
      </c>
      <c r="C77">
        <v>253791.49990454433</v>
      </c>
    </row>
    <row r="78" spans="1:3" x14ac:dyDescent="0.15">
      <c r="A78">
        <v>54</v>
      </c>
      <c r="B78">
        <v>454632.37114996847</v>
      </c>
      <c r="C78">
        <v>-46632.371149968472</v>
      </c>
    </row>
    <row r="79" spans="1:3" x14ac:dyDescent="0.15">
      <c r="A79">
        <v>55</v>
      </c>
      <c r="B79">
        <v>186960.21061892106</v>
      </c>
      <c r="C79">
        <v>242039.78938107894</v>
      </c>
    </row>
    <row r="80" spans="1:3" x14ac:dyDescent="0.15">
      <c r="A80">
        <v>56</v>
      </c>
      <c r="B80">
        <v>1019001.3843178395</v>
      </c>
      <c r="C80">
        <v>846998.61568216048</v>
      </c>
    </row>
    <row r="81" spans="1:3" x14ac:dyDescent="0.15">
      <c r="A81">
        <v>57</v>
      </c>
      <c r="B81">
        <v>709404.6685228931</v>
      </c>
      <c r="C81">
        <v>-100404.6685228931</v>
      </c>
    </row>
    <row r="82" spans="1:3" x14ac:dyDescent="0.15">
      <c r="A82">
        <v>58</v>
      </c>
      <c r="B82">
        <v>670705.07904852484</v>
      </c>
      <c r="C82">
        <v>-235705.07904852484</v>
      </c>
    </row>
    <row r="83" spans="1:3" x14ac:dyDescent="0.15">
      <c r="A83">
        <v>59</v>
      </c>
      <c r="B83">
        <v>696504.80536477035</v>
      </c>
      <c r="C83">
        <v>1136495.1946352297</v>
      </c>
    </row>
    <row r="84" spans="1:3" x14ac:dyDescent="0.15">
      <c r="A84">
        <v>60</v>
      </c>
      <c r="B84">
        <v>38611.784300509244</v>
      </c>
      <c r="C84">
        <v>185388.21569949074</v>
      </c>
    </row>
    <row r="85" spans="1:3" x14ac:dyDescent="0.15">
      <c r="A85">
        <v>61</v>
      </c>
      <c r="B85">
        <v>731979.42904960795</v>
      </c>
      <c r="C85">
        <v>-517979.42904960795</v>
      </c>
    </row>
    <row r="86" spans="1:3" x14ac:dyDescent="0.15">
      <c r="A86">
        <v>62</v>
      </c>
      <c r="B86">
        <v>812603.57378787524</v>
      </c>
      <c r="C86">
        <v>-48603.573787875241</v>
      </c>
    </row>
    <row r="87" spans="1:3" x14ac:dyDescent="0.15">
      <c r="A87">
        <v>63</v>
      </c>
      <c r="B87">
        <v>586855.96852072689</v>
      </c>
      <c r="C87">
        <v>-28855.968520726892</v>
      </c>
    </row>
    <row r="88" spans="1:3" x14ac:dyDescent="0.15">
      <c r="A88">
        <v>64</v>
      </c>
      <c r="B88">
        <v>383683.12378029327</v>
      </c>
      <c r="C88">
        <v>-8683.1237802932737</v>
      </c>
    </row>
    <row r="89" spans="1:3" x14ac:dyDescent="0.15">
      <c r="A89">
        <v>65</v>
      </c>
      <c r="B89">
        <v>612655.6948369724</v>
      </c>
      <c r="C89">
        <v>-192655.6948369724</v>
      </c>
    </row>
    <row r="90" spans="1:3" x14ac:dyDescent="0.15">
      <c r="A90">
        <v>66</v>
      </c>
      <c r="B90">
        <v>196635.10798751313</v>
      </c>
      <c r="C90">
        <v>-42635.107987513125</v>
      </c>
    </row>
    <row r="91" spans="1:3" x14ac:dyDescent="0.15">
      <c r="A91">
        <v>67</v>
      </c>
      <c r="B91">
        <v>77311.373774877546</v>
      </c>
      <c r="C91">
        <v>48688.626225122454</v>
      </c>
    </row>
    <row r="92" spans="1:3" x14ac:dyDescent="0.15">
      <c r="A92">
        <v>68</v>
      </c>
      <c r="B92">
        <v>467532.23430809123</v>
      </c>
      <c r="C92">
        <v>-151532.23430809123</v>
      </c>
    </row>
    <row r="93" spans="1:3" x14ac:dyDescent="0.15">
      <c r="A93">
        <v>69</v>
      </c>
      <c r="B93">
        <v>225659.80009328935</v>
      </c>
      <c r="C93">
        <v>-133659.80009328935</v>
      </c>
    </row>
    <row r="94" spans="1:3" x14ac:dyDescent="0.15">
      <c r="A94">
        <v>70</v>
      </c>
      <c r="B94">
        <v>528806.58430917433</v>
      </c>
      <c r="C94">
        <v>-66806.58430917433</v>
      </c>
    </row>
    <row r="95" spans="1:3" x14ac:dyDescent="0.15">
      <c r="A95">
        <v>71</v>
      </c>
      <c r="B95">
        <v>599755.83167884964</v>
      </c>
      <c r="C95">
        <v>582244.16832115036</v>
      </c>
    </row>
    <row r="96" spans="1:3" x14ac:dyDescent="0.15">
      <c r="A96">
        <v>72</v>
      </c>
      <c r="B96">
        <v>970626.89747487917</v>
      </c>
      <c r="C96">
        <v>-6626.8974748791661</v>
      </c>
    </row>
    <row r="97" spans="1:3" x14ac:dyDescent="0.15">
      <c r="A97">
        <v>73</v>
      </c>
      <c r="B97">
        <v>593305.90009978821</v>
      </c>
      <c r="C97">
        <v>-261305.90009978821</v>
      </c>
    </row>
    <row r="98" spans="1:3" x14ac:dyDescent="0.15">
      <c r="A98">
        <v>74</v>
      </c>
      <c r="B98">
        <v>602980.7974683803</v>
      </c>
      <c r="C98">
        <v>819019.2025316197</v>
      </c>
    </row>
    <row r="99" spans="1:3" x14ac:dyDescent="0.15">
      <c r="A99">
        <v>75</v>
      </c>
      <c r="B99">
        <v>670705.07904852484</v>
      </c>
      <c r="C99">
        <v>905294.92095147516</v>
      </c>
    </row>
    <row r="100" spans="1:3" x14ac:dyDescent="0.15">
      <c r="A100">
        <v>76</v>
      </c>
      <c r="B100">
        <v>470757.20009762194</v>
      </c>
      <c r="C100">
        <v>67242.799902378058</v>
      </c>
    </row>
    <row r="101" spans="1:3" x14ac:dyDescent="0.15">
      <c r="A101">
        <v>77</v>
      </c>
      <c r="B101">
        <v>593305.90009978821</v>
      </c>
      <c r="C101">
        <v>-62305.90009978821</v>
      </c>
    </row>
    <row r="102" spans="1:3" x14ac:dyDescent="0.15">
      <c r="A102">
        <v>78</v>
      </c>
      <c r="B102">
        <v>473982.1658871526</v>
      </c>
      <c r="C102">
        <v>-136982.1658871526</v>
      </c>
    </row>
    <row r="103" spans="1:3" x14ac:dyDescent="0.15">
      <c r="A103">
        <v>79</v>
      </c>
      <c r="B103">
        <v>515906.72115105164</v>
      </c>
      <c r="C103">
        <v>311093.27884894836</v>
      </c>
    </row>
    <row r="104" spans="1:3" ht="14" thickBot="1" x14ac:dyDescent="0.2">
      <c r="A104" s="13">
        <v>80</v>
      </c>
      <c r="B104" s="13">
        <v>854528.12905177427</v>
      </c>
      <c r="C104" s="13">
        <v>-628528.12905177427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A460-6762-D741-B772-8215B0E6E549}">
  <dimension ref="A1:I104"/>
  <sheetViews>
    <sheetView workbookViewId="0">
      <selection activeCell="A18" sqref="A1:G18"/>
    </sheetView>
  </sheetViews>
  <sheetFormatPr baseColWidth="10" defaultRowHeight="13" x14ac:dyDescent="0.15"/>
  <cols>
    <col min="4" max="4" width="11.6640625" bestFit="1" customWidth="1"/>
  </cols>
  <sheetData>
    <row r="1" spans="1:9" x14ac:dyDescent="0.15">
      <c r="A1" s="21" t="s">
        <v>6</v>
      </c>
      <c r="B1" s="21"/>
      <c r="C1" s="21"/>
      <c r="D1" s="21"/>
      <c r="E1" s="21"/>
      <c r="F1" s="21"/>
      <c r="G1" s="21"/>
    </row>
    <row r="2" spans="1:9" ht="14" thickBot="1" x14ac:dyDescent="0.2">
      <c r="A2" s="21"/>
      <c r="B2" s="21"/>
      <c r="C2" s="21"/>
      <c r="D2" s="21"/>
      <c r="E2" s="21"/>
      <c r="F2" s="21"/>
      <c r="G2" s="21"/>
    </row>
    <row r="3" spans="1:9" x14ac:dyDescent="0.15">
      <c r="A3" s="22" t="s">
        <v>7</v>
      </c>
      <c r="B3" s="22"/>
      <c r="C3" s="21"/>
      <c r="D3" s="21"/>
      <c r="E3" s="21"/>
      <c r="F3" s="21"/>
      <c r="G3" s="21"/>
    </row>
    <row r="4" spans="1:9" x14ac:dyDescent="0.15">
      <c r="A4" s="21" t="s">
        <v>8</v>
      </c>
      <c r="B4" s="21">
        <v>0.89378232481291853</v>
      </c>
      <c r="C4" s="21"/>
      <c r="D4" s="21"/>
      <c r="E4" s="21"/>
      <c r="F4" s="21"/>
      <c r="G4" s="21"/>
    </row>
    <row r="5" spans="1:9" x14ac:dyDescent="0.15">
      <c r="A5" s="21" t="s">
        <v>9</v>
      </c>
      <c r="B5" s="21">
        <v>0.79884684414798535</v>
      </c>
      <c r="C5" s="21"/>
      <c r="D5" s="21"/>
      <c r="E5" s="21" t="s">
        <v>44</v>
      </c>
      <c r="F5" s="21"/>
      <c r="G5" s="21"/>
    </row>
    <row r="6" spans="1:9" x14ac:dyDescent="0.15">
      <c r="A6" s="21" t="s">
        <v>10</v>
      </c>
      <c r="B6" s="21">
        <v>0.79626795753449797</v>
      </c>
      <c r="C6" s="21"/>
      <c r="D6" s="21"/>
      <c r="E6" s="21"/>
      <c r="F6" s="21"/>
      <c r="G6" s="21"/>
    </row>
    <row r="7" spans="1:9" x14ac:dyDescent="0.15">
      <c r="A7" s="21" t="s">
        <v>11</v>
      </c>
      <c r="B7" s="21">
        <v>201403585.41881704</v>
      </c>
      <c r="C7" s="21"/>
      <c r="D7" s="21"/>
      <c r="E7" s="21"/>
      <c r="F7" s="21"/>
      <c r="G7" s="21"/>
    </row>
    <row r="8" spans="1:9" ht="14" thickBot="1" x14ac:dyDescent="0.2">
      <c r="A8" s="23" t="s">
        <v>12</v>
      </c>
      <c r="B8" s="23">
        <v>80</v>
      </c>
      <c r="C8" s="21"/>
      <c r="D8" s="21"/>
      <c r="E8" s="21"/>
      <c r="F8" s="21"/>
      <c r="G8" s="21"/>
    </row>
    <row r="9" spans="1:9" x14ac:dyDescent="0.15">
      <c r="A9" s="21"/>
      <c r="B9" s="21"/>
      <c r="C9" s="21"/>
      <c r="D9" s="21"/>
      <c r="E9" s="21"/>
      <c r="F9" s="21"/>
      <c r="G9" s="21"/>
    </row>
    <row r="10" spans="1:9" ht="14" thickBot="1" x14ac:dyDescent="0.2">
      <c r="A10" s="21" t="s">
        <v>13</v>
      </c>
      <c r="B10" s="21"/>
      <c r="C10" s="21"/>
      <c r="D10" s="21"/>
      <c r="E10" s="21"/>
      <c r="F10" s="21"/>
      <c r="G10" s="21"/>
    </row>
    <row r="11" spans="1:9" x14ac:dyDescent="0.15">
      <c r="A11" s="24"/>
      <c r="B11" s="24" t="s">
        <v>18</v>
      </c>
      <c r="C11" s="24" t="s">
        <v>19</v>
      </c>
      <c r="D11" s="24" t="s">
        <v>20</v>
      </c>
      <c r="E11" s="24" t="s">
        <v>21</v>
      </c>
      <c r="F11" s="24" t="s">
        <v>22</v>
      </c>
      <c r="G11" s="21"/>
    </row>
    <row r="12" spans="1:9" x14ac:dyDescent="0.15">
      <c r="A12" s="21" t="s">
        <v>14</v>
      </c>
      <c r="B12" s="21">
        <v>1</v>
      </c>
      <c r="C12" s="21">
        <v>1.2565091958374734E+19</v>
      </c>
      <c r="D12" s="21">
        <v>1.2565091958374734E+19</v>
      </c>
      <c r="E12" s="21">
        <v>309.76423700448146</v>
      </c>
      <c r="F12" s="21">
        <v>6.909705896400587E-29</v>
      </c>
      <c r="G12" s="21"/>
    </row>
    <row r="13" spans="1:9" x14ac:dyDescent="0.15">
      <c r="A13" s="21" t="s">
        <v>15</v>
      </c>
      <c r="B13" s="21">
        <v>78</v>
      </c>
      <c r="C13" s="21">
        <v>3.163945529125269E+18</v>
      </c>
      <c r="D13" s="21">
        <v>4.0563404219554728E+16</v>
      </c>
      <c r="E13" s="21"/>
      <c r="F13" s="21"/>
      <c r="G13" s="21"/>
    </row>
    <row r="14" spans="1:9" ht="14" thickBot="1" x14ac:dyDescent="0.2">
      <c r="A14" s="23" t="s">
        <v>16</v>
      </c>
      <c r="B14" s="23">
        <v>79</v>
      </c>
      <c r="C14" s="23">
        <v>1.5729037487500003E+19</v>
      </c>
      <c r="D14" s="23"/>
      <c r="E14" s="23"/>
      <c r="F14" s="23"/>
      <c r="G14" s="21"/>
    </row>
    <row r="15" spans="1:9" ht="14" thickBot="1" x14ac:dyDescent="0.2">
      <c r="A15" s="21"/>
      <c r="B15" s="21"/>
      <c r="C15" s="21"/>
      <c r="D15" s="21"/>
      <c r="E15" s="21"/>
      <c r="F15" s="21"/>
      <c r="G15" s="21"/>
    </row>
    <row r="16" spans="1:9" x14ac:dyDescent="0.15">
      <c r="A16" s="24"/>
      <c r="B16" s="24" t="s">
        <v>23</v>
      </c>
      <c r="C16" s="24" t="s">
        <v>11</v>
      </c>
      <c r="D16" s="24" t="s">
        <v>24</v>
      </c>
      <c r="E16" s="24" t="s">
        <v>25</v>
      </c>
      <c r="F16" s="24" t="s">
        <v>26</v>
      </c>
      <c r="G16" s="24" t="s">
        <v>27</v>
      </c>
      <c r="H16" s="14" t="s">
        <v>38</v>
      </c>
      <c r="I16" s="14" t="s">
        <v>39</v>
      </c>
    </row>
    <row r="17" spans="1:9" x14ac:dyDescent="0.15">
      <c r="A17" s="21" t="s">
        <v>17</v>
      </c>
      <c r="B17" s="21">
        <v>-5491692171.3235016</v>
      </c>
      <c r="C17" s="21">
        <v>342928348.16325867</v>
      </c>
      <c r="D17" s="21">
        <v>-16.014109655084738</v>
      </c>
      <c r="E17" s="21">
        <v>2.2553542470634767E-26</v>
      </c>
      <c r="F17" s="21">
        <v>-6174410068.0767603</v>
      </c>
      <c r="G17" s="21">
        <v>-4808974274.5702429</v>
      </c>
      <c r="H17">
        <v>-6062539150.9760056</v>
      </c>
      <c r="I17">
        <v>-4920845191.6709976</v>
      </c>
    </row>
    <row r="18" spans="1:9" ht="14" thickBot="1" x14ac:dyDescent="0.2">
      <c r="A18" s="23" t="s">
        <v>3</v>
      </c>
      <c r="B18" s="23">
        <v>1079099942.0132535</v>
      </c>
      <c r="C18" s="23">
        <v>61312077.382825784</v>
      </c>
      <c r="D18" s="23">
        <v>17.600120369033878</v>
      </c>
      <c r="E18" s="23">
        <v>6.9097058964007843E-29</v>
      </c>
      <c r="F18" s="23">
        <v>957036972.47289908</v>
      </c>
      <c r="G18" s="23">
        <v>1201162911.5536077</v>
      </c>
      <c r="H18" s="13">
        <v>977038346.99590516</v>
      </c>
      <c r="I18" s="13">
        <v>1181161537.0306017</v>
      </c>
    </row>
    <row r="21" spans="1:9" x14ac:dyDescent="0.15">
      <c r="D21">
        <f>B17</f>
        <v>-5491692171.3235016</v>
      </c>
    </row>
    <row r="22" spans="1:9" x14ac:dyDescent="0.15">
      <c r="A22" t="s">
        <v>40</v>
      </c>
      <c r="D22">
        <f>B18</f>
        <v>1079099942.0132535</v>
      </c>
    </row>
    <row r="23" spans="1:9" ht="14" thickBot="1" x14ac:dyDescent="0.2"/>
    <row r="24" spans="1:9" x14ac:dyDescent="0.15">
      <c r="A24" s="14" t="s">
        <v>41</v>
      </c>
      <c r="B24" s="14" t="s">
        <v>42</v>
      </c>
      <c r="C24" s="14" t="s">
        <v>43</v>
      </c>
    </row>
    <row r="25" spans="1:9" x14ac:dyDescent="0.15">
      <c r="A25">
        <v>1</v>
      </c>
      <c r="B25">
        <v>988497771.49844706</v>
      </c>
      <c r="C25">
        <v>23502228.501552939</v>
      </c>
    </row>
    <row r="26" spans="1:9" x14ac:dyDescent="0.15">
      <c r="A26">
        <v>2</v>
      </c>
      <c r="B26">
        <v>327566798.23405236</v>
      </c>
      <c r="C26">
        <v>-80566798.23405236</v>
      </c>
    </row>
    <row r="27" spans="1:9" x14ac:dyDescent="0.15">
      <c r="A27">
        <v>3</v>
      </c>
      <c r="B27">
        <v>304226847.40317774</v>
      </c>
      <c r="C27">
        <v>-69226847.403177738</v>
      </c>
    </row>
    <row r="28" spans="1:9" x14ac:dyDescent="0.15">
      <c r="A28">
        <v>4</v>
      </c>
      <c r="B28">
        <v>-206663061.10944664</v>
      </c>
      <c r="C28">
        <v>285663061.10944664</v>
      </c>
    </row>
    <row r="29" spans="1:9" x14ac:dyDescent="0.15">
      <c r="A29">
        <v>5</v>
      </c>
      <c r="B29">
        <v>824139.28371519619</v>
      </c>
      <c r="C29">
        <v>122175860.7162848</v>
      </c>
    </row>
    <row r="30" spans="1:9" x14ac:dyDescent="0.15">
      <c r="A30">
        <v>6</v>
      </c>
      <c r="B30">
        <v>-298077647.25538301</v>
      </c>
      <c r="C30">
        <v>363077647.25538301</v>
      </c>
    </row>
    <row r="31" spans="1:9" x14ac:dyDescent="0.15">
      <c r="A31">
        <v>7</v>
      </c>
      <c r="B31">
        <v>766375879.30696833</v>
      </c>
      <c r="C31">
        <v>-136375879.30696833</v>
      </c>
    </row>
    <row r="32" spans="1:9" x14ac:dyDescent="0.15">
      <c r="A32">
        <v>8</v>
      </c>
      <c r="B32">
        <v>659002388.14479792</v>
      </c>
      <c r="C32">
        <v>-158002388.14479792</v>
      </c>
    </row>
    <row r="33" spans="1:3" x14ac:dyDescent="0.15">
      <c r="A33">
        <v>9</v>
      </c>
      <c r="B33">
        <v>228648989.60801777</v>
      </c>
      <c r="C33">
        <v>-28648989.608017772</v>
      </c>
    </row>
    <row r="34" spans="1:3" x14ac:dyDescent="0.15">
      <c r="A34">
        <v>10</v>
      </c>
      <c r="B34">
        <v>726813932.63579381</v>
      </c>
      <c r="C34">
        <v>-147813932.63579381</v>
      </c>
    </row>
    <row r="35" spans="1:3" x14ac:dyDescent="0.15">
      <c r="A35">
        <v>11</v>
      </c>
      <c r="B35">
        <v>668264490.99911106</v>
      </c>
      <c r="C35">
        <v>-157264490.99911106</v>
      </c>
    </row>
    <row r="36" spans="1:3" x14ac:dyDescent="0.15">
      <c r="A36">
        <v>12</v>
      </c>
      <c r="B36">
        <v>733244869.22824419</v>
      </c>
      <c r="C36">
        <v>-146244869.22824419</v>
      </c>
    </row>
    <row r="37" spans="1:3" x14ac:dyDescent="0.15">
      <c r="A37">
        <v>13</v>
      </c>
      <c r="B37">
        <v>552317355.62987292</v>
      </c>
      <c r="C37">
        <v>-153317355.62987292</v>
      </c>
    </row>
    <row r="38" spans="1:3" x14ac:dyDescent="0.15">
      <c r="A38">
        <v>14</v>
      </c>
      <c r="B38">
        <v>304226847.40317774</v>
      </c>
      <c r="C38">
        <v>-69226847.403177738</v>
      </c>
    </row>
    <row r="39" spans="1:3" x14ac:dyDescent="0.15">
      <c r="A39">
        <v>15</v>
      </c>
      <c r="B39">
        <v>1275499298.5320926</v>
      </c>
      <c r="C39">
        <v>591500701.46790743</v>
      </c>
    </row>
    <row r="40" spans="1:3" x14ac:dyDescent="0.15">
      <c r="A40">
        <v>16</v>
      </c>
      <c r="B40">
        <v>294148025.61392999</v>
      </c>
      <c r="C40">
        <v>-64148025.613929987</v>
      </c>
    </row>
    <row r="41" spans="1:3" x14ac:dyDescent="0.15">
      <c r="A41">
        <v>17</v>
      </c>
      <c r="B41">
        <v>-156101206.52071857</v>
      </c>
      <c r="C41">
        <v>244101206.52071857</v>
      </c>
    </row>
    <row r="42" spans="1:3" x14ac:dyDescent="0.15">
      <c r="A42">
        <v>18</v>
      </c>
      <c r="B42">
        <v>129895178.78662449</v>
      </c>
      <c r="C42">
        <v>32104821.213375509</v>
      </c>
    </row>
    <row r="43" spans="1:3" x14ac:dyDescent="0.15">
      <c r="A43">
        <v>19</v>
      </c>
      <c r="B43">
        <v>1249435129.985388</v>
      </c>
      <c r="C43">
        <v>516564870.01461196</v>
      </c>
    </row>
    <row r="44" spans="1:3" x14ac:dyDescent="0.15">
      <c r="A44">
        <v>20</v>
      </c>
      <c r="B44">
        <v>579691392.85773361</v>
      </c>
      <c r="C44">
        <v>-156691392.85773361</v>
      </c>
    </row>
    <row r="45" spans="1:3" x14ac:dyDescent="0.15">
      <c r="A45">
        <v>21</v>
      </c>
      <c r="B45">
        <v>963287940.80816197</v>
      </c>
      <c r="C45">
        <v>-4287940.808161974</v>
      </c>
    </row>
    <row r="46" spans="1:3" x14ac:dyDescent="0.15">
      <c r="A46">
        <v>22</v>
      </c>
      <c r="B46">
        <v>-298077647.25538301</v>
      </c>
      <c r="C46">
        <v>363077647.25538301</v>
      </c>
    </row>
    <row r="47" spans="1:3" x14ac:dyDescent="0.15">
      <c r="A47">
        <v>23</v>
      </c>
      <c r="B47">
        <v>-183515287.081815</v>
      </c>
      <c r="C47">
        <v>266515287.081815</v>
      </c>
    </row>
    <row r="48" spans="1:3" x14ac:dyDescent="0.15">
      <c r="A48">
        <v>24</v>
      </c>
      <c r="B48">
        <v>87536945.952541351</v>
      </c>
      <c r="C48">
        <v>60463054.047458649</v>
      </c>
    </row>
    <row r="49" spans="1:3" x14ac:dyDescent="0.15">
      <c r="A49">
        <v>25</v>
      </c>
      <c r="B49">
        <v>441534428.44171619</v>
      </c>
      <c r="C49">
        <v>-126534428.44171619</v>
      </c>
    </row>
    <row r="50" spans="1:3" x14ac:dyDescent="0.15">
      <c r="A50">
        <v>26</v>
      </c>
      <c r="B50">
        <v>1109097046.5679898</v>
      </c>
      <c r="C50">
        <v>199902953.43201017</v>
      </c>
    </row>
    <row r="51" spans="1:3" x14ac:dyDescent="0.15">
      <c r="A51">
        <v>27</v>
      </c>
      <c r="B51">
        <v>918181075.30294025</v>
      </c>
      <c r="C51">
        <v>-47181075.302940249</v>
      </c>
    </row>
    <row r="52" spans="1:3" x14ac:dyDescent="0.15">
      <c r="A52">
        <v>28</v>
      </c>
      <c r="B52">
        <v>15822128.007099072</v>
      </c>
      <c r="C52">
        <v>111177871.99290092</v>
      </c>
    </row>
    <row r="53" spans="1:3" x14ac:dyDescent="0.15">
      <c r="A53">
        <v>29</v>
      </c>
      <c r="B53">
        <v>578582168.31567287</v>
      </c>
      <c r="C53">
        <v>-156582168.31567287</v>
      </c>
    </row>
    <row r="54" spans="1:3" x14ac:dyDescent="0.15">
      <c r="A54">
        <v>30</v>
      </c>
      <c r="B54">
        <v>587383312.42592239</v>
      </c>
      <c r="C54">
        <v>-157383312.42592239</v>
      </c>
    </row>
    <row r="55" spans="1:3" x14ac:dyDescent="0.15">
      <c r="A55">
        <v>31</v>
      </c>
      <c r="B55">
        <v>611803070.48981285</v>
      </c>
      <c r="C55">
        <v>-158803070.48981285</v>
      </c>
    </row>
    <row r="56" spans="1:3" x14ac:dyDescent="0.15">
      <c r="A56">
        <v>32</v>
      </c>
      <c r="B56">
        <v>721932147.34485614</v>
      </c>
      <c r="C56">
        <v>-148932147.34485614</v>
      </c>
    </row>
    <row r="57" spans="1:3" x14ac:dyDescent="0.15">
      <c r="A57">
        <v>33</v>
      </c>
      <c r="B57">
        <v>750488013.72549713</v>
      </c>
      <c r="C57">
        <v>-141488013.72549713</v>
      </c>
    </row>
    <row r="58" spans="1:3" x14ac:dyDescent="0.15">
      <c r="A58">
        <v>34</v>
      </c>
      <c r="B58">
        <v>859810600.65050375</v>
      </c>
      <c r="C58">
        <v>-90810600.650503755</v>
      </c>
    </row>
    <row r="59" spans="1:3" x14ac:dyDescent="0.15">
      <c r="A59">
        <v>35</v>
      </c>
      <c r="B59">
        <v>516953986.23529059</v>
      </c>
      <c r="C59">
        <v>-146953986.23529059</v>
      </c>
    </row>
    <row r="60" spans="1:3" x14ac:dyDescent="0.15">
      <c r="A60">
        <v>36</v>
      </c>
      <c r="B60">
        <v>567343088.90823209</v>
      </c>
      <c r="C60">
        <v>-155343088.90823209</v>
      </c>
    </row>
    <row r="61" spans="1:3" x14ac:dyDescent="0.15">
      <c r="A61">
        <v>37</v>
      </c>
      <c r="B61">
        <v>194638941.2201401</v>
      </c>
      <c r="C61">
        <v>-8638941.2201400995</v>
      </c>
    </row>
    <row r="62" spans="1:3" x14ac:dyDescent="0.15">
      <c r="A62">
        <v>38</v>
      </c>
      <c r="B62">
        <v>237929434.45760649</v>
      </c>
      <c r="C62">
        <v>-33929434.457606494</v>
      </c>
    </row>
    <row r="63" spans="1:3" x14ac:dyDescent="0.15">
      <c r="A63">
        <v>39</v>
      </c>
      <c r="B63">
        <v>-105660402.46869154</v>
      </c>
      <c r="C63">
        <v>203660402.46869153</v>
      </c>
    </row>
    <row r="64" spans="1:3" x14ac:dyDescent="0.15">
      <c r="A64">
        <v>40</v>
      </c>
      <c r="B64">
        <v>336958839.02421808</v>
      </c>
      <c r="C64">
        <v>-84958839.024218082</v>
      </c>
    </row>
    <row r="65" spans="1:3" x14ac:dyDescent="0.15">
      <c r="A65">
        <v>41</v>
      </c>
      <c r="B65">
        <v>553490440.47326994</v>
      </c>
      <c r="C65">
        <v>-153490440.47326994</v>
      </c>
    </row>
    <row r="66" spans="1:3" x14ac:dyDescent="0.15">
      <c r="A66">
        <v>42</v>
      </c>
      <c r="B66">
        <v>431002588.5889281</v>
      </c>
      <c r="C66">
        <v>-123002588.5889281</v>
      </c>
    </row>
    <row r="67" spans="1:3" x14ac:dyDescent="0.15">
      <c r="A67">
        <v>43</v>
      </c>
      <c r="B67">
        <v>-276932083.8436712</v>
      </c>
      <c r="C67">
        <v>344932083.8436712</v>
      </c>
    </row>
    <row r="68" spans="1:3" x14ac:dyDescent="0.15">
      <c r="A68">
        <v>44</v>
      </c>
      <c r="B68">
        <v>577470312.15894771</v>
      </c>
      <c r="C68">
        <v>-156470312.15894771</v>
      </c>
    </row>
    <row r="69" spans="1:3" x14ac:dyDescent="0.15">
      <c r="A69">
        <v>45</v>
      </c>
      <c r="B69">
        <v>1081445664.2902236</v>
      </c>
      <c r="C69">
        <v>152554335.7097764</v>
      </c>
    </row>
    <row r="70" spans="1:3" x14ac:dyDescent="0.15">
      <c r="A70">
        <v>46</v>
      </c>
      <c r="B70">
        <v>202137455.59499252</v>
      </c>
      <c r="C70">
        <v>-13137455.594992518</v>
      </c>
    </row>
    <row r="71" spans="1:3" x14ac:dyDescent="0.15">
      <c r="A71">
        <v>47</v>
      </c>
      <c r="B71">
        <v>545216505.38599885</v>
      </c>
      <c r="C71">
        <v>-152216505.38599885</v>
      </c>
    </row>
    <row r="72" spans="1:3" x14ac:dyDescent="0.15">
      <c r="A72">
        <v>48</v>
      </c>
      <c r="B72">
        <v>940764522.83699989</v>
      </c>
      <c r="C72">
        <v>-26764522.836999893</v>
      </c>
    </row>
    <row r="73" spans="1:3" x14ac:dyDescent="0.15">
      <c r="A73">
        <v>49</v>
      </c>
      <c r="B73">
        <v>204610533.36694887</v>
      </c>
      <c r="C73">
        <v>-14610533.366948873</v>
      </c>
    </row>
    <row r="74" spans="1:3" x14ac:dyDescent="0.15">
      <c r="A74">
        <v>50</v>
      </c>
      <c r="B74">
        <v>721932147.34485614</v>
      </c>
      <c r="C74">
        <v>-148932147.34485614</v>
      </c>
    </row>
    <row r="75" spans="1:3" x14ac:dyDescent="0.15">
      <c r="A75">
        <v>51</v>
      </c>
      <c r="B75">
        <v>600282672.17143357</v>
      </c>
      <c r="C75">
        <v>-158282672.17143357</v>
      </c>
    </row>
    <row r="76" spans="1:3" x14ac:dyDescent="0.15">
      <c r="A76">
        <v>52</v>
      </c>
      <c r="B76">
        <v>944340049.77390635</v>
      </c>
      <c r="C76">
        <v>-23340049.77390635</v>
      </c>
    </row>
    <row r="77" spans="1:3" x14ac:dyDescent="0.15">
      <c r="A77">
        <v>53</v>
      </c>
      <c r="B77">
        <v>745070067.25281978</v>
      </c>
      <c r="C77">
        <v>-143070067.25281978</v>
      </c>
    </row>
    <row r="78" spans="1:3" x14ac:dyDescent="0.15">
      <c r="A78">
        <v>54</v>
      </c>
      <c r="B78">
        <v>562770885.32285857</v>
      </c>
      <c r="C78">
        <v>-154770885.32285857</v>
      </c>
    </row>
    <row r="79" spans="1:3" x14ac:dyDescent="0.15">
      <c r="A79">
        <v>55</v>
      </c>
      <c r="B79">
        <v>586292166.06516063</v>
      </c>
      <c r="C79">
        <v>-157292166.06516063</v>
      </c>
    </row>
    <row r="80" spans="1:3" x14ac:dyDescent="0.15">
      <c r="A80">
        <v>56</v>
      </c>
      <c r="B80">
        <v>1275248215.1345844</v>
      </c>
      <c r="C80">
        <v>590751784.86541557</v>
      </c>
    </row>
    <row r="81" spans="1:3" x14ac:dyDescent="0.15">
      <c r="A81">
        <v>57</v>
      </c>
      <c r="B81">
        <v>750488013.72549713</v>
      </c>
      <c r="C81">
        <v>-141488013.72549713</v>
      </c>
    </row>
    <row r="82" spans="1:3" x14ac:dyDescent="0.15">
      <c r="A82">
        <v>58</v>
      </c>
      <c r="B82">
        <v>592801258.89859974</v>
      </c>
      <c r="C82">
        <v>-157801258.89859974</v>
      </c>
    </row>
    <row r="83" spans="1:3" x14ac:dyDescent="0.15">
      <c r="A83">
        <v>59</v>
      </c>
      <c r="B83">
        <v>1266886081.4368119</v>
      </c>
      <c r="C83">
        <v>566113918.56318808</v>
      </c>
    </row>
    <row r="84" spans="1:3" x14ac:dyDescent="0.15">
      <c r="A84">
        <v>60</v>
      </c>
      <c r="B84">
        <v>281760155.01741809</v>
      </c>
      <c r="C84">
        <v>-57760155.017418087</v>
      </c>
    </row>
    <row r="85" spans="1:3" x14ac:dyDescent="0.15">
      <c r="A85">
        <v>61</v>
      </c>
      <c r="B85">
        <v>260357022.40425792</v>
      </c>
      <c r="C85">
        <v>-46357022.404257923</v>
      </c>
    </row>
    <row r="86" spans="1:3" x14ac:dyDescent="0.15">
      <c r="A86">
        <v>62</v>
      </c>
      <c r="B86">
        <v>856753530.77408171</v>
      </c>
      <c r="C86">
        <v>-92753530.774081707</v>
      </c>
    </row>
    <row r="87" spans="1:3" x14ac:dyDescent="0.15">
      <c r="A87">
        <v>63</v>
      </c>
      <c r="B87">
        <v>709500459.52141869</v>
      </c>
      <c r="C87">
        <v>-151500459.52141869</v>
      </c>
    </row>
    <row r="88" spans="1:3" x14ac:dyDescent="0.15">
      <c r="A88">
        <v>64</v>
      </c>
      <c r="B88">
        <v>523244646.46154141</v>
      </c>
      <c r="C88">
        <v>-148244646.46154141</v>
      </c>
    </row>
    <row r="89" spans="1:3" x14ac:dyDescent="0.15">
      <c r="A89">
        <v>65</v>
      </c>
      <c r="B89">
        <v>576355811.87094176</v>
      </c>
      <c r="C89">
        <v>-156355811.87094176</v>
      </c>
    </row>
    <row r="90" spans="1:3" x14ac:dyDescent="0.15">
      <c r="A90">
        <v>66</v>
      </c>
      <c r="B90">
        <v>106161137.723676</v>
      </c>
      <c r="C90">
        <v>47838862.276324004</v>
      </c>
    </row>
    <row r="91" spans="1:3" x14ac:dyDescent="0.15">
      <c r="A91">
        <v>67</v>
      </c>
      <c r="B91">
        <v>12117388.15896599</v>
      </c>
      <c r="C91">
        <v>113882611.84103401</v>
      </c>
    </row>
    <row r="92" spans="1:3" x14ac:dyDescent="0.15">
      <c r="A92">
        <v>68</v>
      </c>
      <c r="B92">
        <v>443019840.62105662</v>
      </c>
      <c r="C92">
        <v>-127019840.62105662</v>
      </c>
    </row>
    <row r="93" spans="1:3" x14ac:dyDescent="0.15">
      <c r="A93">
        <v>69</v>
      </c>
      <c r="B93">
        <v>-135269014.66881925</v>
      </c>
      <c r="C93">
        <v>227269014.66881925</v>
      </c>
    </row>
    <row r="94" spans="1:3" x14ac:dyDescent="0.15">
      <c r="A94">
        <v>70</v>
      </c>
      <c r="B94">
        <v>621022656.02495468</v>
      </c>
      <c r="C94">
        <v>-159022656.02495468</v>
      </c>
    </row>
    <row r="95" spans="1:3" x14ac:dyDescent="0.15">
      <c r="A95">
        <v>71</v>
      </c>
      <c r="B95">
        <v>1061268995.4851325</v>
      </c>
      <c r="C95">
        <v>120731004.51486754</v>
      </c>
    </row>
    <row r="96" spans="1:3" x14ac:dyDescent="0.15">
      <c r="A96">
        <v>72</v>
      </c>
      <c r="B96">
        <v>965725008.96388495</v>
      </c>
      <c r="C96">
        <v>-1725008.9638849497</v>
      </c>
    </row>
    <row r="97" spans="1:3" x14ac:dyDescent="0.15">
      <c r="A97">
        <v>73</v>
      </c>
      <c r="B97">
        <v>466167614.64868921</v>
      </c>
      <c r="C97">
        <v>-134167614.64868921</v>
      </c>
    </row>
    <row r="98" spans="1:3" x14ac:dyDescent="0.15">
      <c r="A98">
        <v>74</v>
      </c>
      <c r="B98">
        <v>1147901426.3583617</v>
      </c>
      <c r="C98">
        <v>274098573.64163828</v>
      </c>
    </row>
    <row r="99" spans="1:3" x14ac:dyDescent="0.15">
      <c r="A99">
        <v>75</v>
      </c>
      <c r="B99">
        <v>1196090378.9143579</v>
      </c>
      <c r="C99">
        <v>379909621.0856421</v>
      </c>
    </row>
    <row r="100" spans="1:3" x14ac:dyDescent="0.15">
      <c r="A100">
        <v>76</v>
      </c>
      <c r="B100">
        <v>692394650.03867924</v>
      </c>
      <c r="C100">
        <v>-154394650.03867924</v>
      </c>
    </row>
    <row r="101" spans="1:3" x14ac:dyDescent="0.15">
      <c r="A101">
        <v>77</v>
      </c>
      <c r="B101">
        <v>686256994.39590669</v>
      </c>
      <c r="C101">
        <v>-155256994.39590669</v>
      </c>
    </row>
    <row r="102" spans="1:3" x14ac:dyDescent="0.15">
      <c r="A102">
        <v>78</v>
      </c>
      <c r="B102">
        <v>473172934.17748576</v>
      </c>
      <c r="C102">
        <v>-136172934.17748576</v>
      </c>
    </row>
    <row r="103" spans="1:3" x14ac:dyDescent="0.15">
      <c r="A103">
        <v>79</v>
      </c>
      <c r="B103">
        <v>893887680.8977598</v>
      </c>
      <c r="C103">
        <v>-66887680.897759795</v>
      </c>
    </row>
    <row r="104" spans="1:3" ht="14" thickBot="1" x14ac:dyDescent="0.2">
      <c r="A104" s="13">
        <v>80</v>
      </c>
      <c r="B104" s="13">
        <v>285925934.89313</v>
      </c>
      <c r="C104" s="13">
        <v>-59925934.893130004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EF0E-5BDB-F249-8BCE-9F8B036D7011}">
  <dimension ref="A1:I104"/>
  <sheetViews>
    <sheetView workbookViewId="0">
      <selection sqref="A1:I104"/>
    </sheetView>
  </sheetViews>
  <sheetFormatPr baseColWidth="10" defaultRowHeight="13" x14ac:dyDescent="0.15"/>
  <sheetData>
    <row r="1" spans="1:9" x14ac:dyDescent="0.15">
      <c r="A1" t="s">
        <v>6</v>
      </c>
    </row>
    <row r="2" spans="1:9" ht="14" thickBot="1" x14ac:dyDescent="0.2"/>
    <row r="3" spans="1:9" x14ac:dyDescent="0.15">
      <c r="A3" s="15" t="s">
        <v>7</v>
      </c>
      <c r="B3" s="15"/>
    </row>
    <row r="4" spans="1:9" x14ac:dyDescent="0.15">
      <c r="A4" t="s">
        <v>8</v>
      </c>
      <c r="B4">
        <v>0.49922664055822191</v>
      </c>
    </row>
    <row r="5" spans="1:9" x14ac:dyDescent="0.15">
      <c r="A5" t="s">
        <v>9</v>
      </c>
      <c r="B5">
        <v>0.24922723864304808</v>
      </c>
    </row>
    <row r="6" spans="1:9" x14ac:dyDescent="0.15">
      <c r="A6" t="s">
        <v>10</v>
      </c>
      <c r="B6">
        <v>0.23960194683077946</v>
      </c>
    </row>
    <row r="7" spans="1:9" x14ac:dyDescent="0.15">
      <c r="A7" t="s">
        <v>11</v>
      </c>
      <c r="B7">
        <v>7.099683226140896E+17</v>
      </c>
    </row>
    <row r="8" spans="1:9" ht="14" thickBot="1" x14ac:dyDescent="0.2">
      <c r="A8" s="13" t="s">
        <v>12</v>
      </c>
      <c r="B8" s="13">
        <v>80</v>
      </c>
    </row>
    <row r="10" spans="1:9" ht="14" thickBot="1" x14ac:dyDescent="0.2">
      <c r="A10" t="s">
        <v>13</v>
      </c>
    </row>
    <row r="11" spans="1:9" x14ac:dyDescent="0.15">
      <c r="A11" s="14"/>
      <c r="B11" s="14" t="s">
        <v>18</v>
      </c>
      <c r="C11" s="14" t="s">
        <v>19</v>
      </c>
      <c r="D11" s="14" t="s">
        <v>20</v>
      </c>
      <c r="E11" s="14" t="s">
        <v>21</v>
      </c>
      <c r="F11" s="14" t="s">
        <v>22</v>
      </c>
    </row>
    <row r="12" spans="1:9" x14ac:dyDescent="0.15">
      <c r="A12" t="s">
        <v>14</v>
      </c>
      <c r="B12">
        <v>1</v>
      </c>
      <c r="C12">
        <v>1.3051473450206713E+37</v>
      </c>
      <c r="D12">
        <v>1.3051473450206713E+37</v>
      </c>
      <c r="E12">
        <v>25.892954053130875</v>
      </c>
      <c r="F12">
        <v>2.4319985898178243E-6</v>
      </c>
    </row>
    <row r="13" spans="1:9" x14ac:dyDescent="0.15">
      <c r="A13" t="s">
        <v>15</v>
      </c>
      <c r="B13">
        <v>78</v>
      </c>
      <c r="C13">
        <v>3.9316291491006186E+37</v>
      </c>
      <c r="D13">
        <v>5.0405501911546395E+35</v>
      </c>
    </row>
    <row r="14" spans="1:9" ht="14" thickBot="1" x14ac:dyDescent="0.2">
      <c r="A14" s="13" t="s">
        <v>16</v>
      </c>
      <c r="B14" s="13">
        <v>79</v>
      </c>
      <c r="C14" s="13">
        <v>5.2367764941212899E+37</v>
      </c>
      <c r="D14" s="13"/>
      <c r="E14" s="13"/>
      <c r="F14" s="13"/>
    </row>
    <row r="15" spans="1:9" ht="14" thickBot="1" x14ac:dyDescent="0.2"/>
    <row r="16" spans="1:9" x14ac:dyDescent="0.15">
      <c r="A16" s="14"/>
      <c r="B16" s="14" t="s">
        <v>23</v>
      </c>
      <c r="C16" s="14" t="s">
        <v>11</v>
      </c>
      <c r="D16" s="14" t="s">
        <v>24</v>
      </c>
      <c r="E16" s="14" t="s">
        <v>25</v>
      </c>
      <c r="F16" s="14" t="s">
        <v>26</v>
      </c>
      <c r="G16" s="14" t="s">
        <v>27</v>
      </c>
      <c r="H16" s="14" t="s">
        <v>38</v>
      </c>
      <c r="I16" s="14" t="s">
        <v>39</v>
      </c>
    </row>
    <row r="17" spans="1:9" x14ac:dyDescent="0.15">
      <c r="A17" t="s">
        <v>17</v>
      </c>
      <c r="B17">
        <v>-3.0798169955866557E+18</v>
      </c>
      <c r="C17">
        <v>7.037610025957833E+17</v>
      </c>
      <c r="D17">
        <v>-4.3762257133130742</v>
      </c>
      <c r="E17">
        <v>3.7020130529640056E-5</v>
      </c>
      <c r="F17">
        <v>-4.4808975247484483E+18</v>
      </c>
      <c r="G17">
        <v>-1.678736466424863E+18</v>
      </c>
      <c r="H17">
        <v>-4.2513149043502787E+18</v>
      </c>
      <c r="I17">
        <v>-1.9083190868230331E+18</v>
      </c>
    </row>
    <row r="18" spans="1:9" ht="14" thickBot="1" x14ac:dyDescent="0.2">
      <c r="A18" s="13" t="s">
        <v>3</v>
      </c>
      <c r="B18" s="13">
        <v>50497524728483.164</v>
      </c>
      <c r="C18" s="13">
        <v>9923829410544.7285</v>
      </c>
      <c r="D18" s="13">
        <v>5.0885119684570741</v>
      </c>
      <c r="E18" s="13">
        <v>2.4319985898178061E-6</v>
      </c>
      <c r="F18" s="13">
        <v>30740698035112.93</v>
      </c>
      <c r="G18" s="13">
        <v>70254351421853.398</v>
      </c>
      <c r="H18" s="13">
        <v>33978073723810.883</v>
      </c>
      <c r="I18" s="13">
        <v>67016975733155.445</v>
      </c>
    </row>
    <row r="22" spans="1:9" x14ac:dyDescent="0.15">
      <c r="A22" t="s">
        <v>40</v>
      </c>
    </row>
    <row r="23" spans="1:9" ht="14" thickBot="1" x14ac:dyDescent="0.2"/>
    <row r="24" spans="1:9" x14ac:dyDescent="0.15">
      <c r="A24" s="14" t="s">
        <v>41</v>
      </c>
      <c r="B24" s="14" t="s">
        <v>42</v>
      </c>
      <c r="C24" s="14" t="s">
        <v>43</v>
      </c>
    </row>
    <row r="25" spans="1:9" x14ac:dyDescent="0.15">
      <c r="A25">
        <v>1</v>
      </c>
      <c r="B25">
        <v>1.4043632003026493E+18</v>
      </c>
      <c r="C25">
        <v>-3.8021920030264934E+17</v>
      </c>
    </row>
    <row r="26" spans="1:9" x14ac:dyDescent="0.15">
      <c r="A26">
        <v>2</v>
      </c>
      <c r="B26">
        <v>1.8232310187335629E+17</v>
      </c>
      <c r="C26">
        <v>-1.2131410187335629E+17</v>
      </c>
    </row>
    <row r="27" spans="1:9" x14ac:dyDescent="0.15">
      <c r="A27">
        <v>3</v>
      </c>
      <c r="B27">
        <v>-1.2066204649754234E+17</v>
      </c>
      <c r="C27">
        <v>1.7588704649754234E+17</v>
      </c>
    </row>
    <row r="28" spans="1:9" x14ac:dyDescent="0.15">
      <c r="A28">
        <v>4</v>
      </c>
      <c r="B28">
        <v>-1.9640833359026707E+17</v>
      </c>
      <c r="C28">
        <v>2.0264933359026707E+17</v>
      </c>
    </row>
    <row r="29" spans="1:9" x14ac:dyDescent="0.15">
      <c r="A29">
        <v>5</v>
      </c>
      <c r="B29">
        <v>8.2869141839794112E+17</v>
      </c>
      <c r="C29">
        <v>-8.1356241839794112E+17</v>
      </c>
    </row>
    <row r="30" spans="1:9" x14ac:dyDescent="0.15">
      <c r="A30">
        <v>6</v>
      </c>
      <c r="B30">
        <v>-1.6106006628032886E+17</v>
      </c>
      <c r="C30">
        <v>1.6528506628032886E+17</v>
      </c>
    </row>
    <row r="31" spans="1:9" x14ac:dyDescent="0.15">
      <c r="A31">
        <v>7</v>
      </c>
      <c r="B31">
        <v>4.5500973540716576E+17</v>
      </c>
      <c r="C31">
        <v>-5.810973540716576E+16</v>
      </c>
    </row>
    <row r="32" spans="1:9" x14ac:dyDescent="0.15">
      <c r="A32">
        <v>8</v>
      </c>
      <c r="B32">
        <v>1.4192508209057013E+17</v>
      </c>
      <c r="C32">
        <v>1.0907591790942987E+17</v>
      </c>
    </row>
    <row r="33" spans="1:3" x14ac:dyDescent="0.15">
      <c r="A33">
        <v>9</v>
      </c>
      <c r="B33">
        <v>8.8423869559927258E+17</v>
      </c>
      <c r="C33">
        <v>-8.4423869559927258E+17</v>
      </c>
    </row>
    <row r="34" spans="1:3" x14ac:dyDescent="0.15">
      <c r="A34">
        <v>10</v>
      </c>
      <c r="B34">
        <v>4.398604779886208E+17</v>
      </c>
      <c r="C34">
        <v>-1.046194779886208E+17</v>
      </c>
    </row>
    <row r="35" spans="1:3" x14ac:dyDescent="0.15">
      <c r="A35">
        <v>11</v>
      </c>
      <c r="B35">
        <v>3.3381567605880614E+17</v>
      </c>
      <c r="C35">
        <v>-7.2694676058806144E+16</v>
      </c>
    </row>
    <row r="36" spans="1:3" x14ac:dyDescent="0.15">
      <c r="A36">
        <v>12</v>
      </c>
      <c r="B36">
        <v>7.7314414119660966E+17</v>
      </c>
      <c r="C36">
        <v>-4.2857514119660966E+17</v>
      </c>
    </row>
    <row r="37" spans="1:3" x14ac:dyDescent="0.15">
      <c r="A37">
        <v>13</v>
      </c>
      <c r="B37">
        <v>2.7826839885747466E+17</v>
      </c>
      <c r="C37">
        <v>-1.1906739885747466E+17</v>
      </c>
    </row>
    <row r="38" spans="1:3" x14ac:dyDescent="0.15">
      <c r="A38">
        <v>14</v>
      </c>
      <c r="B38">
        <v>4.5979785106452112E+16</v>
      </c>
      <c r="C38">
        <v>9245214893547888</v>
      </c>
    </row>
    <row r="39" spans="1:3" x14ac:dyDescent="0.15">
      <c r="A39">
        <v>15</v>
      </c>
      <c r="B39">
        <v>1.2276218637529582E+18</v>
      </c>
      <c r="C39">
        <v>2.2580671362470418E+18</v>
      </c>
    </row>
    <row r="40" spans="1:3" x14ac:dyDescent="0.15">
      <c r="A40">
        <v>16</v>
      </c>
      <c r="B40">
        <v>5.1055701260849722E+17</v>
      </c>
      <c r="C40">
        <v>-4.5765701260849722E+17</v>
      </c>
    </row>
    <row r="41" spans="1:3" x14ac:dyDescent="0.15">
      <c r="A41">
        <v>17</v>
      </c>
      <c r="B41">
        <v>-1.459108088617839E+17</v>
      </c>
      <c r="C41">
        <v>1.536548088617839E+17</v>
      </c>
    </row>
    <row r="42" spans="1:3" x14ac:dyDescent="0.15">
      <c r="A42">
        <v>18</v>
      </c>
      <c r="B42">
        <v>1.065768147806319E+17</v>
      </c>
      <c r="C42">
        <v>-8.0332814780631904E+16</v>
      </c>
    </row>
    <row r="43" spans="1:3" x14ac:dyDescent="0.15">
      <c r="A43">
        <v>19</v>
      </c>
      <c r="B43">
        <v>1.0054327549476323E+18</v>
      </c>
      <c r="C43">
        <v>2.1133232450523679E+18</v>
      </c>
    </row>
    <row r="44" spans="1:3" x14ac:dyDescent="0.15">
      <c r="A44">
        <v>20</v>
      </c>
      <c r="B44">
        <v>2.8331815133032298E+17</v>
      </c>
      <c r="C44">
        <v>-1.0438915133032298E+17</v>
      </c>
    </row>
    <row r="45" spans="1:3" x14ac:dyDescent="0.15">
      <c r="A45">
        <v>21</v>
      </c>
      <c r="B45">
        <v>1.2629701310628964E+18</v>
      </c>
      <c r="C45">
        <v>-3.4328913106289638E+17</v>
      </c>
    </row>
    <row r="46" spans="1:3" x14ac:dyDescent="0.15">
      <c r="A46">
        <v>22</v>
      </c>
      <c r="B46">
        <v>2.3282062660183981E+17</v>
      </c>
      <c r="C46">
        <v>-2.2859562660183981E+17</v>
      </c>
    </row>
    <row r="47" spans="1:3" x14ac:dyDescent="0.15">
      <c r="A47">
        <v>23</v>
      </c>
      <c r="B47">
        <v>-3.2770189788432333E+17</v>
      </c>
      <c r="C47">
        <v>3.3459089788432333E+17</v>
      </c>
    </row>
    <row r="48" spans="1:3" x14ac:dyDescent="0.15">
      <c r="A48">
        <v>24</v>
      </c>
      <c r="B48">
        <v>5.2065651755419386E+17</v>
      </c>
      <c r="C48">
        <v>-4.9875251755419386E+17</v>
      </c>
    </row>
    <row r="49" spans="1:3" x14ac:dyDescent="0.15">
      <c r="A49">
        <v>25</v>
      </c>
      <c r="B49">
        <v>4.2471122057007584E+17</v>
      </c>
      <c r="C49">
        <v>-3.2548622057007584E+17</v>
      </c>
    </row>
    <row r="50" spans="1:3" x14ac:dyDescent="0.15">
      <c r="A50">
        <v>26</v>
      </c>
      <c r="B50">
        <v>9.3978597280060416E+17</v>
      </c>
      <c r="C50">
        <v>7.7369502719939584E+17</v>
      </c>
    </row>
    <row r="51" spans="1:3" x14ac:dyDescent="0.15">
      <c r="A51">
        <v>27</v>
      </c>
      <c r="B51">
        <v>5.055072601356489E+17</v>
      </c>
      <c r="C51">
        <v>2.531337398643511E+17</v>
      </c>
    </row>
    <row r="52" spans="1:3" x14ac:dyDescent="0.15">
      <c r="A52">
        <v>28</v>
      </c>
      <c r="B52">
        <v>-2.9766501986272636E+16</v>
      </c>
      <c r="C52">
        <v>4.589550198627264E+16</v>
      </c>
    </row>
    <row r="53" spans="1:3" x14ac:dyDescent="0.15">
      <c r="A53">
        <v>29</v>
      </c>
      <c r="B53">
        <v>2.4292013154753645E+17</v>
      </c>
      <c r="C53">
        <v>-6.4836131547536448E+16</v>
      </c>
    </row>
    <row r="54" spans="1:3" x14ac:dyDescent="0.15">
      <c r="A54">
        <v>30</v>
      </c>
      <c r="B54">
        <v>5.5095503239128378E+17</v>
      </c>
      <c r="C54">
        <v>-3.6605503239128378E+17</v>
      </c>
    </row>
    <row r="55" spans="1:3" x14ac:dyDescent="0.15">
      <c r="A55">
        <v>31</v>
      </c>
      <c r="B55">
        <v>5.8630329970122202E+17</v>
      </c>
      <c r="C55">
        <v>-3.8109429970122202E+17</v>
      </c>
    </row>
    <row r="56" spans="1:3" x14ac:dyDescent="0.15">
      <c r="A56">
        <v>32</v>
      </c>
      <c r="B56">
        <v>9.0948745796351424E+17</v>
      </c>
      <c r="C56">
        <v>-5.8115845796351424E+17</v>
      </c>
    </row>
    <row r="57" spans="1:3" x14ac:dyDescent="0.15">
      <c r="A57">
        <v>33</v>
      </c>
      <c r="B57">
        <v>6.1660181453831181E+17</v>
      </c>
      <c r="C57">
        <v>-2.4572081453831181E+17</v>
      </c>
    </row>
    <row r="58" spans="1:3" x14ac:dyDescent="0.15">
      <c r="A58">
        <v>34</v>
      </c>
      <c r="B58">
        <v>1.1417760717145368E+18</v>
      </c>
      <c r="C58">
        <v>-5.5041507171453683E+17</v>
      </c>
    </row>
    <row r="59" spans="1:3" x14ac:dyDescent="0.15">
      <c r="A59">
        <v>35</v>
      </c>
      <c r="B59">
        <v>2.9341765627601958E+17</v>
      </c>
      <c r="C59">
        <v>-1.5651765627601958E+17</v>
      </c>
    </row>
    <row r="60" spans="1:3" x14ac:dyDescent="0.15">
      <c r="A60">
        <v>36</v>
      </c>
      <c r="B60">
        <v>9.145372104363625E+17</v>
      </c>
      <c r="C60">
        <v>-7.447932104363625E+17</v>
      </c>
    </row>
    <row r="61" spans="1:3" x14ac:dyDescent="0.15">
      <c r="A61">
        <v>37</v>
      </c>
      <c r="B61">
        <v>-4.9965511877665904E+16</v>
      </c>
      <c r="C61">
        <v>8.4561511877665904E+16</v>
      </c>
    </row>
    <row r="62" spans="1:3" x14ac:dyDescent="0.15">
      <c r="A62">
        <v>38</v>
      </c>
      <c r="B62">
        <v>1.0609800321489637E+18</v>
      </c>
      <c r="C62">
        <v>-1.0193640321489637E+18</v>
      </c>
    </row>
    <row r="63" spans="1:3" x14ac:dyDescent="0.15">
      <c r="A63">
        <v>39</v>
      </c>
      <c r="B63">
        <v>3.1361666616741286E+17</v>
      </c>
      <c r="C63">
        <v>-3.0401266616741286E+17</v>
      </c>
    </row>
    <row r="64" spans="1:3" x14ac:dyDescent="0.15">
      <c r="A64">
        <v>40</v>
      </c>
      <c r="B64">
        <v>-4517739622031053</v>
      </c>
      <c r="C64">
        <v>6.8021739622031056E+16</v>
      </c>
    </row>
    <row r="65" spans="1:3" x14ac:dyDescent="0.15">
      <c r="A65">
        <v>41</v>
      </c>
      <c r="B65">
        <v>4.2976097304292416E+17</v>
      </c>
      <c r="C65">
        <v>-2.6976097304292416E+17</v>
      </c>
    </row>
    <row r="66" spans="1:3" x14ac:dyDescent="0.15">
      <c r="A66">
        <v>42</v>
      </c>
      <c r="B66">
        <v>4.398604779886208E+17</v>
      </c>
      <c r="C66">
        <v>-3.449964779886208E+17</v>
      </c>
    </row>
    <row r="67" spans="1:3" x14ac:dyDescent="0.15">
      <c r="A67">
        <v>43</v>
      </c>
      <c r="B67">
        <v>4.146117156243792E+17</v>
      </c>
      <c r="C67">
        <v>-4.099877156243792E+17</v>
      </c>
    </row>
    <row r="68" spans="1:3" x14ac:dyDescent="0.15">
      <c r="A68">
        <v>44</v>
      </c>
      <c r="B68">
        <v>8.9433820054496922E+17</v>
      </c>
      <c r="C68">
        <v>-7.1709720054496922E+17</v>
      </c>
    </row>
    <row r="69" spans="1:3" x14ac:dyDescent="0.15">
      <c r="A69">
        <v>45</v>
      </c>
      <c r="B69">
        <v>7.7819389366945805E+17</v>
      </c>
      <c r="C69">
        <v>7.4456210633054195E+17</v>
      </c>
    </row>
    <row r="70" spans="1:3" x14ac:dyDescent="0.15">
      <c r="A70">
        <v>46</v>
      </c>
      <c r="B70">
        <v>6.1129042524997064E+16</v>
      </c>
      <c r="C70">
        <v>-2.5408042524997064E+16</v>
      </c>
    </row>
    <row r="71" spans="1:3" x14ac:dyDescent="0.15">
      <c r="A71">
        <v>47</v>
      </c>
      <c r="B71">
        <v>6.9234810163103667E+17</v>
      </c>
      <c r="C71">
        <v>-5.3789910163103667E+17</v>
      </c>
    </row>
    <row r="72" spans="1:3" x14ac:dyDescent="0.15">
      <c r="A72">
        <v>48</v>
      </c>
      <c r="B72">
        <v>2.6311914143892973E+17</v>
      </c>
      <c r="C72">
        <v>5.7227685856107027E+17</v>
      </c>
    </row>
    <row r="73" spans="1:3" x14ac:dyDescent="0.15">
      <c r="A73">
        <v>49</v>
      </c>
      <c r="B73">
        <v>6.8729834915818829E+17</v>
      </c>
      <c r="C73">
        <v>-6.5119834915818829E+17</v>
      </c>
    </row>
    <row r="74" spans="1:3" x14ac:dyDescent="0.15">
      <c r="A74">
        <v>50</v>
      </c>
      <c r="B74">
        <v>-4517739622031053</v>
      </c>
      <c r="C74">
        <v>3.3284673962203104E+17</v>
      </c>
    </row>
    <row r="75" spans="1:3" x14ac:dyDescent="0.15">
      <c r="A75">
        <v>51</v>
      </c>
      <c r="B75">
        <v>4.398604779886208E+17</v>
      </c>
      <c r="C75">
        <v>-2.444964779886208E+17</v>
      </c>
    </row>
    <row r="76" spans="1:3" x14ac:dyDescent="0.15">
      <c r="A76">
        <v>52</v>
      </c>
      <c r="B76">
        <v>1.0407810222575704E+18</v>
      </c>
      <c r="C76">
        <v>-1.9254002225757043E+17</v>
      </c>
    </row>
    <row r="77" spans="1:3" x14ac:dyDescent="0.15">
      <c r="A77">
        <v>53</v>
      </c>
      <c r="B77">
        <v>1.9242260681905328E+17</v>
      </c>
      <c r="C77">
        <v>1.6998139318094672E+17</v>
      </c>
    </row>
    <row r="78" spans="1:3" x14ac:dyDescent="0.15">
      <c r="A78">
        <v>54</v>
      </c>
      <c r="B78">
        <v>3.5906443842304774E+17</v>
      </c>
      <c r="C78">
        <v>-1.9260043842304774E+17</v>
      </c>
    </row>
    <row r="79" spans="1:3" x14ac:dyDescent="0.15">
      <c r="A79">
        <v>55</v>
      </c>
      <c r="B79">
        <v>-6.0065016823362536E+16</v>
      </c>
      <c r="C79">
        <v>2.4410601682336253E+17</v>
      </c>
    </row>
    <row r="80" spans="1:3" x14ac:dyDescent="0.15">
      <c r="A80">
        <v>56</v>
      </c>
      <c r="B80">
        <v>1.2427711211715031E+18</v>
      </c>
      <c r="C80">
        <v>2.2391848788284969E+18</v>
      </c>
    </row>
    <row r="81" spans="1:3" x14ac:dyDescent="0.15">
      <c r="A81">
        <v>57</v>
      </c>
      <c r="B81">
        <v>7.5799488377806477E+17</v>
      </c>
      <c r="C81">
        <v>-3.8711388377806477E+17</v>
      </c>
    </row>
    <row r="82" spans="1:3" x14ac:dyDescent="0.15">
      <c r="A82">
        <v>58</v>
      </c>
      <c r="B82">
        <v>6.9739785410388493E+17</v>
      </c>
      <c r="C82">
        <v>-5.0817285410388493E+17</v>
      </c>
    </row>
    <row r="83" spans="1:3" x14ac:dyDescent="0.15">
      <c r="A83">
        <v>59</v>
      </c>
      <c r="B83">
        <v>7.3779587388667149E+17</v>
      </c>
      <c r="C83">
        <v>2.6220931261133286E+18</v>
      </c>
    </row>
    <row r="84" spans="1:3" x14ac:dyDescent="0.15">
      <c r="A84">
        <v>60</v>
      </c>
      <c r="B84">
        <v>-2.9235363057438509E+17</v>
      </c>
      <c r="C84">
        <v>3.4252963057438509E+17</v>
      </c>
    </row>
    <row r="85" spans="1:3" x14ac:dyDescent="0.15">
      <c r="A85">
        <v>61</v>
      </c>
      <c r="B85">
        <v>7.9334315108800294E+17</v>
      </c>
      <c r="C85">
        <v>-7.4754715108800294E+17</v>
      </c>
    </row>
    <row r="86" spans="1:3" x14ac:dyDescent="0.15">
      <c r="A86">
        <v>62</v>
      </c>
      <c r="B86">
        <v>9.1958696290921088E+17</v>
      </c>
      <c r="C86">
        <v>-3.3589096290921088E+17</v>
      </c>
    </row>
    <row r="87" spans="1:3" x14ac:dyDescent="0.15">
      <c r="A87">
        <v>63</v>
      </c>
      <c r="B87">
        <v>5.6610428980982867E+17</v>
      </c>
      <c r="C87">
        <v>-2.5474028980982867E+17</v>
      </c>
    </row>
    <row r="88" spans="1:3" x14ac:dyDescent="0.15">
      <c r="A88">
        <v>64</v>
      </c>
      <c r="B88">
        <v>2.4796988402038477E+17</v>
      </c>
      <c r="C88">
        <v>-1.0734488402038477E+17</v>
      </c>
    </row>
    <row r="89" spans="1:3" x14ac:dyDescent="0.15">
      <c r="A89">
        <v>65</v>
      </c>
      <c r="B89">
        <v>6.065023095926153E+17</v>
      </c>
      <c r="C89">
        <v>-4.301023095926153E+17</v>
      </c>
    </row>
    <row r="90" spans="1:3" x14ac:dyDescent="0.15">
      <c r="A90">
        <v>66</v>
      </c>
      <c r="B90">
        <v>-4.4915759404817584E+16</v>
      </c>
      <c r="C90">
        <v>6.8631759404817584E+16</v>
      </c>
    </row>
    <row r="91" spans="1:3" x14ac:dyDescent="0.15">
      <c r="A91">
        <v>67</v>
      </c>
      <c r="B91">
        <v>-2.3175660090020528E+17</v>
      </c>
      <c r="C91">
        <v>2.4763260090020528E+17</v>
      </c>
    </row>
    <row r="92" spans="1:3" x14ac:dyDescent="0.15">
      <c r="A92">
        <v>68</v>
      </c>
      <c r="B92">
        <v>3.7926344831444102E+17</v>
      </c>
      <c r="C92">
        <v>-2.7940744831444102E+17</v>
      </c>
    </row>
    <row r="93" spans="1:3" x14ac:dyDescent="0.15">
      <c r="A93">
        <v>69</v>
      </c>
      <c r="B93">
        <v>532012850817263.81</v>
      </c>
      <c r="C93">
        <v>7931987149182736</v>
      </c>
    </row>
    <row r="94" spans="1:3" x14ac:dyDescent="0.15">
      <c r="A94">
        <v>70</v>
      </c>
      <c r="B94">
        <v>4.7520874529855898E+17</v>
      </c>
      <c r="C94">
        <v>-2.6176474529855898E+17</v>
      </c>
    </row>
    <row r="95" spans="1:3" x14ac:dyDescent="0.15">
      <c r="A95">
        <v>71</v>
      </c>
      <c r="B95">
        <v>5.8630329970122202E+17</v>
      </c>
      <c r="C95">
        <v>8.1082070029877798E+17</v>
      </c>
    </row>
    <row r="96" spans="1:3" x14ac:dyDescent="0.15">
      <c r="A96">
        <v>72</v>
      </c>
      <c r="B96">
        <v>1.1670248340787784E+18</v>
      </c>
      <c r="C96">
        <v>-2.3772883407877837E+17</v>
      </c>
    </row>
    <row r="97" spans="1:3" x14ac:dyDescent="0.15">
      <c r="A97">
        <v>73</v>
      </c>
      <c r="B97">
        <v>5.7620379475552531E+17</v>
      </c>
      <c r="C97">
        <v>-4.6597979475552531E+17</v>
      </c>
    </row>
    <row r="98" spans="1:3" x14ac:dyDescent="0.15">
      <c r="A98">
        <v>74</v>
      </c>
      <c r="B98">
        <v>5.9135305217407027E+17</v>
      </c>
      <c r="C98">
        <v>1.4307309478259297E+18</v>
      </c>
    </row>
    <row r="99" spans="1:3" x14ac:dyDescent="0.15">
      <c r="A99">
        <v>75</v>
      </c>
      <c r="B99">
        <v>6.9739785410388493E+17</v>
      </c>
      <c r="C99">
        <v>1.7863781458961152E+18</v>
      </c>
    </row>
    <row r="100" spans="1:3" x14ac:dyDescent="0.15">
      <c r="A100">
        <v>76</v>
      </c>
      <c r="B100">
        <v>3.8431320078728928E+17</v>
      </c>
      <c r="C100">
        <v>-9.486920078728928E+16</v>
      </c>
    </row>
    <row r="101" spans="1:3" x14ac:dyDescent="0.15">
      <c r="A101">
        <v>77</v>
      </c>
      <c r="B101">
        <v>5.7620379475552531E+17</v>
      </c>
      <c r="C101">
        <v>-2.9424279475552531E+17</v>
      </c>
    </row>
    <row r="102" spans="1:3" x14ac:dyDescent="0.15">
      <c r="A102">
        <v>78</v>
      </c>
      <c r="B102">
        <v>3.893629532601376E+17</v>
      </c>
      <c r="C102">
        <v>-2.757939532601376E+17</v>
      </c>
    </row>
    <row r="103" spans="1:3" x14ac:dyDescent="0.15">
      <c r="A103">
        <v>79</v>
      </c>
      <c r="B103">
        <v>4.5500973540716576E+17</v>
      </c>
      <c r="C103">
        <v>2.2891926459283424E+17</v>
      </c>
    </row>
    <row r="104" spans="1:3" ht="14" thickBot="1" x14ac:dyDescent="0.2">
      <c r="A104" s="13">
        <v>80</v>
      </c>
      <c r="B104" s="13">
        <v>9.8523374505623898E+17</v>
      </c>
      <c r="C104" s="13">
        <v>-9.3415774505623898E+17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C2BE-C5BE-F146-890B-F6BE69D0ECA0}">
  <dimension ref="A1:I105"/>
  <sheetViews>
    <sheetView workbookViewId="0">
      <selection activeCell="A19" sqref="A1:G19"/>
    </sheetView>
  </sheetViews>
  <sheetFormatPr baseColWidth="10" defaultRowHeight="13" x14ac:dyDescent="0.15"/>
  <sheetData>
    <row r="1" spans="1:9" x14ac:dyDescent="0.15">
      <c r="A1" s="21" t="s">
        <v>6</v>
      </c>
      <c r="B1" s="21"/>
      <c r="C1" s="21"/>
      <c r="D1" s="21"/>
      <c r="E1" s="21"/>
      <c r="F1" s="21"/>
      <c r="G1" s="21"/>
    </row>
    <row r="2" spans="1:9" ht="14" thickBot="1" x14ac:dyDescent="0.2">
      <c r="A2" s="21"/>
      <c r="B2" s="21"/>
      <c r="C2" s="21"/>
      <c r="D2" s="21"/>
      <c r="E2" s="21"/>
      <c r="F2" s="21"/>
      <c r="G2" s="21"/>
    </row>
    <row r="3" spans="1:9" x14ac:dyDescent="0.15">
      <c r="A3" s="22" t="s">
        <v>7</v>
      </c>
      <c r="B3" s="22"/>
      <c r="C3" s="21"/>
      <c r="D3" s="21"/>
      <c r="E3" s="21"/>
      <c r="F3" s="21"/>
      <c r="G3" s="21"/>
    </row>
    <row r="4" spans="1:9" x14ac:dyDescent="0.15">
      <c r="A4" s="21" t="s">
        <v>8</v>
      </c>
      <c r="B4" s="21">
        <v>0.58954056021846901</v>
      </c>
      <c r="C4" s="21"/>
      <c r="D4" s="21"/>
      <c r="E4" s="21"/>
      <c r="F4" s="21"/>
      <c r="G4" s="21"/>
    </row>
    <row r="5" spans="1:9" x14ac:dyDescent="0.15">
      <c r="A5" s="21" t="s">
        <v>9</v>
      </c>
      <c r="B5" s="21">
        <v>0.34755807214270623</v>
      </c>
      <c r="C5" s="21"/>
      <c r="D5" s="21"/>
      <c r="E5" s="21"/>
      <c r="F5" s="21"/>
      <c r="G5" s="21"/>
    </row>
    <row r="6" spans="1:9" x14ac:dyDescent="0.15">
      <c r="A6" s="21" t="s">
        <v>10</v>
      </c>
      <c r="B6" s="21">
        <v>0.33061152856199733</v>
      </c>
      <c r="C6" s="21"/>
      <c r="D6" s="21"/>
      <c r="E6" s="21"/>
      <c r="F6" s="21"/>
      <c r="G6" s="21"/>
    </row>
    <row r="7" spans="1:9" x14ac:dyDescent="0.15">
      <c r="A7" s="21" t="s">
        <v>11</v>
      </c>
      <c r="B7" s="21">
        <v>365070417.36117381</v>
      </c>
      <c r="C7" s="21"/>
      <c r="D7" s="21"/>
      <c r="E7" s="21"/>
      <c r="F7" s="21"/>
      <c r="G7" s="21"/>
    </row>
    <row r="8" spans="1:9" ht="14" thickBot="1" x14ac:dyDescent="0.2">
      <c r="A8" s="23" t="s">
        <v>12</v>
      </c>
      <c r="B8" s="23">
        <v>80</v>
      </c>
      <c r="C8" s="21"/>
      <c r="D8" s="21"/>
      <c r="E8" s="21"/>
      <c r="F8" s="21"/>
      <c r="G8" s="21"/>
    </row>
    <row r="9" spans="1:9" x14ac:dyDescent="0.15">
      <c r="A9" s="21"/>
      <c r="B9" s="21"/>
      <c r="C9" s="21"/>
      <c r="D9" s="21"/>
      <c r="E9" s="21"/>
      <c r="F9" s="21"/>
      <c r="G9" s="21"/>
    </row>
    <row r="10" spans="1:9" ht="14" thickBot="1" x14ac:dyDescent="0.2">
      <c r="A10" s="21" t="s">
        <v>13</v>
      </c>
      <c r="B10" s="21"/>
      <c r="C10" s="21"/>
      <c r="D10" s="21"/>
      <c r="E10" s="21"/>
      <c r="F10" s="21"/>
      <c r="G10" s="21"/>
    </row>
    <row r="11" spans="1:9" x14ac:dyDescent="0.15">
      <c r="A11" s="24"/>
      <c r="B11" s="24" t="s">
        <v>18</v>
      </c>
      <c r="C11" s="24" t="s">
        <v>19</v>
      </c>
      <c r="D11" s="24" t="s">
        <v>20</v>
      </c>
      <c r="E11" s="24" t="s">
        <v>21</v>
      </c>
      <c r="F11" s="24" t="s">
        <v>22</v>
      </c>
      <c r="G11" s="21"/>
    </row>
    <row r="12" spans="1:9" x14ac:dyDescent="0.15">
      <c r="A12" s="21" t="s">
        <v>14</v>
      </c>
      <c r="B12" s="21">
        <v>2</v>
      </c>
      <c r="C12" s="21">
        <v>5.4667539458158572E+18</v>
      </c>
      <c r="D12" s="21">
        <v>2.7333769729079286E+18</v>
      </c>
      <c r="E12" s="21">
        <v>20.509083193716769</v>
      </c>
      <c r="F12" s="21">
        <v>7.2420530077999584E-8</v>
      </c>
      <c r="G12" s="21"/>
    </row>
    <row r="13" spans="1:9" x14ac:dyDescent="0.15">
      <c r="A13" s="21" t="s">
        <v>15</v>
      </c>
      <c r="B13" s="21">
        <v>77</v>
      </c>
      <c r="C13" s="21">
        <v>1.0262283541684146E+19</v>
      </c>
      <c r="D13" s="21">
        <v>1.3327640963226163E+17</v>
      </c>
      <c r="E13" s="21"/>
      <c r="F13" s="21"/>
      <c r="G13" s="21"/>
    </row>
    <row r="14" spans="1:9" ht="14" thickBot="1" x14ac:dyDescent="0.2">
      <c r="A14" s="23" t="s">
        <v>16</v>
      </c>
      <c r="B14" s="23">
        <v>79</v>
      </c>
      <c r="C14" s="23">
        <v>1.5729037487500003E+19</v>
      </c>
      <c r="D14" s="23"/>
      <c r="E14" s="23"/>
      <c r="F14" s="23"/>
      <c r="G14" s="21"/>
    </row>
    <row r="15" spans="1:9" ht="14" thickBot="1" x14ac:dyDescent="0.2">
      <c r="A15" s="21"/>
      <c r="B15" s="21"/>
      <c r="C15" s="21"/>
      <c r="D15" s="21"/>
      <c r="E15" s="21"/>
      <c r="F15" s="21"/>
      <c r="G15" s="21"/>
    </row>
    <row r="16" spans="1:9" x14ac:dyDescent="0.15">
      <c r="A16" s="24"/>
      <c r="B16" s="24" t="s">
        <v>23</v>
      </c>
      <c r="C16" s="24" t="s">
        <v>11</v>
      </c>
      <c r="D16" s="24" t="s">
        <v>24</v>
      </c>
      <c r="E16" s="24" t="s">
        <v>25</v>
      </c>
      <c r="F16" s="24" t="s">
        <v>26</v>
      </c>
      <c r="G16" s="24" t="s">
        <v>27</v>
      </c>
      <c r="H16" s="14" t="s">
        <v>38</v>
      </c>
      <c r="I16" s="14" t="s">
        <v>39</v>
      </c>
    </row>
    <row r="17" spans="1:9" x14ac:dyDescent="0.15">
      <c r="A17" s="21" t="s">
        <v>17</v>
      </c>
      <c r="B17" s="21">
        <v>1042421357.9614048</v>
      </c>
      <c r="C17" s="21">
        <v>2706418989.0407867</v>
      </c>
      <c r="D17" s="21">
        <v>0.38516628880543785</v>
      </c>
      <c r="E17" s="21">
        <v>0.70117613948552693</v>
      </c>
      <c r="F17" s="21">
        <v>-4346747349.728651</v>
      </c>
      <c r="G17" s="21">
        <v>6431590065.6514606</v>
      </c>
      <c r="H17">
        <v>-3463453768.2345934</v>
      </c>
      <c r="I17">
        <v>5548296484.157403</v>
      </c>
    </row>
    <row r="18" spans="1:9" x14ac:dyDescent="0.15">
      <c r="A18" s="21" t="s">
        <v>3</v>
      </c>
      <c r="B18" s="21">
        <v>-47397.09404952285</v>
      </c>
      <c r="C18" s="21">
        <v>76901.733470648847</v>
      </c>
      <c r="D18" s="21">
        <v>-0.61633323347142677</v>
      </c>
      <c r="E18" s="21">
        <v>0.53949249824433854</v>
      </c>
      <c r="F18" s="21">
        <v>-200528.00883593844</v>
      </c>
      <c r="G18" s="21">
        <v>105733.82073689274</v>
      </c>
      <c r="H18">
        <v>-175429.60099315812</v>
      </c>
      <c r="I18">
        <v>80635.412894112436</v>
      </c>
    </row>
    <row r="19" spans="1:9" ht="14" thickBot="1" x14ac:dyDescent="0.2">
      <c r="A19" s="23" t="s">
        <v>46</v>
      </c>
      <c r="B19" s="23">
        <v>0.56236862968153456</v>
      </c>
      <c r="C19" s="23">
        <v>0.5417899034780338</v>
      </c>
      <c r="D19" s="23">
        <v>1.0379828528944433</v>
      </c>
      <c r="E19" s="23">
        <v>0.30252664057232098</v>
      </c>
      <c r="F19" s="23">
        <v>-0.51647289699614896</v>
      </c>
      <c r="G19" s="23">
        <v>1.6412101563592181</v>
      </c>
      <c r="H19" s="13">
        <v>-0.33964900306166113</v>
      </c>
      <c r="I19" s="13">
        <v>1.4643862624247304</v>
      </c>
    </row>
    <row r="23" spans="1:9" x14ac:dyDescent="0.15">
      <c r="A23" t="s">
        <v>40</v>
      </c>
    </row>
    <row r="24" spans="1:9" ht="14" thickBot="1" x14ac:dyDescent="0.2"/>
    <row r="25" spans="1:9" x14ac:dyDescent="0.15">
      <c r="A25" s="14" t="s">
        <v>41</v>
      </c>
      <c r="B25" s="14" t="s">
        <v>42</v>
      </c>
      <c r="C25" s="14" t="s">
        <v>43</v>
      </c>
    </row>
    <row r="26" spans="1:9" x14ac:dyDescent="0.15">
      <c r="A26">
        <v>1</v>
      </c>
      <c r="B26">
        <v>1268083493.5997355</v>
      </c>
      <c r="C26">
        <v>-256083493.5997355</v>
      </c>
    </row>
    <row r="27" spans="1:9" x14ac:dyDescent="0.15">
      <c r="A27">
        <v>2</v>
      </c>
      <c r="B27">
        <v>327423353.00402135</v>
      </c>
      <c r="C27">
        <v>-80423353.004021347</v>
      </c>
    </row>
    <row r="28" spans="1:9" x14ac:dyDescent="0.15">
      <c r="A28">
        <v>3</v>
      </c>
      <c r="B28">
        <v>196103026.24056831</v>
      </c>
      <c r="C28">
        <v>38896973.75943169</v>
      </c>
    </row>
    <row r="29" spans="1:9" x14ac:dyDescent="0.15">
      <c r="A29">
        <v>4</v>
      </c>
      <c r="B29">
        <v>169599591.63362205</v>
      </c>
      <c r="C29">
        <v>-90599591.63362205</v>
      </c>
    </row>
    <row r="30" spans="1:9" x14ac:dyDescent="0.15">
      <c r="A30">
        <v>5</v>
      </c>
      <c r="B30">
        <v>742901770.47928607</v>
      </c>
      <c r="C30">
        <v>-619901770.47928607</v>
      </c>
    </row>
    <row r="31" spans="1:9" x14ac:dyDescent="0.15">
      <c r="A31">
        <v>6</v>
      </c>
      <c r="B31">
        <v>181652934.6842421</v>
      </c>
      <c r="C31">
        <v>-116652934.6842421</v>
      </c>
    </row>
    <row r="32" spans="1:9" x14ac:dyDescent="0.15">
      <c r="A32">
        <v>7</v>
      </c>
      <c r="B32">
        <v>480231059.93432468</v>
      </c>
      <c r="C32">
        <v>149768940.06567532</v>
      </c>
    </row>
    <row r="33" spans="1:3" x14ac:dyDescent="0.15">
      <c r="A33">
        <v>8</v>
      </c>
      <c r="B33">
        <v>307574522.60275245</v>
      </c>
      <c r="C33">
        <v>193425477.39724755</v>
      </c>
    </row>
    <row r="34" spans="1:3" x14ac:dyDescent="0.15">
      <c r="A34">
        <v>9</v>
      </c>
      <c r="B34">
        <v>787205563.32889748</v>
      </c>
      <c r="C34">
        <v>-587205563.32889748</v>
      </c>
    </row>
    <row r="35" spans="1:3" x14ac:dyDescent="0.15">
      <c r="A35">
        <v>10</v>
      </c>
      <c r="B35">
        <v>470881318.87922817</v>
      </c>
      <c r="C35">
        <v>108118681.12077183</v>
      </c>
    </row>
    <row r="36" spans="1:3" x14ac:dyDescent="0.15">
      <c r="A36">
        <v>11</v>
      </c>
      <c r="B36">
        <v>408267469.38714963</v>
      </c>
      <c r="C36">
        <v>102732530.61285037</v>
      </c>
    </row>
    <row r="37" spans="1:3" x14ac:dyDescent="0.15">
      <c r="A37">
        <v>12</v>
      </c>
      <c r="B37">
        <v>699958909.71350443</v>
      </c>
      <c r="C37">
        <v>-112958909.71350443</v>
      </c>
    </row>
    <row r="38" spans="1:3" x14ac:dyDescent="0.15">
      <c r="A38">
        <v>13</v>
      </c>
      <c r="B38">
        <v>377449276.27730161</v>
      </c>
      <c r="C38">
        <v>21550723.72269839</v>
      </c>
    </row>
    <row r="39" spans="1:3" x14ac:dyDescent="0.15">
      <c r="A39">
        <v>14</v>
      </c>
      <c r="B39">
        <v>263318501.47000504</v>
      </c>
      <c r="C39">
        <v>-28318501.470005035</v>
      </c>
    </row>
    <row r="40" spans="1:3" x14ac:dyDescent="0.15">
      <c r="A40">
        <v>15</v>
      </c>
      <c r="B40">
        <v>1091293998.2766223</v>
      </c>
      <c r="C40">
        <v>775706001.7233777</v>
      </c>
    </row>
    <row r="41" spans="1:3" x14ac:dyDescent="0.15">
      <c r="A41">
        <v>16</v>
      </c>
      <c r="B41">
        <v>515379491.49272072</v>
      </c>
      <c r="C41">
        <v>-285379491.49272072</v>
      </c>
    </row>
    <row r="42" spans="1:3" x14ac:dyDescent="0.15">
      <c r="A42">
        <v>17</v>
      </c>
      <c r="B42">
        <v>186987363.72341222</v>
      </c>
      <c r="C42">
        <v>-98987363.723412216</v>
      </c>
    </row>
    <row r="43" spans="1:3" x14ac:dyDescent="0.15">
      <c r="A43">
        <v>18</v>
      </c>
      <c r="B43">
        <v>290797283.06280774</v>
      </c>
      <c r="C43">
        <v>-128797283.06280774</v>
      </c>
    </row>
    <row r="44" spans="1:3" x14ac:dyDescent="0.15">
      <c r="A44">
        <v>19</v>
      </c>
      <c r="B44">
        <v>888592280.58101046</v>
      </c>
      <c r="C44">
        <v>877407719.41898954</v>
      </c>
    </row>
    <row r="45" spans="1:3" x14ac:dyDescent="0.15">
      <c r="A45">
        <v>20</v>
      </c>
      <c r="B45">
        <v>380194693.33341056</v>
      </c>
      <c r="C45">
        <v>42805306.666589439</v>
      </c>
    </row>
    <row r="46" spans="1:3" x14ac:dyDescent="0.15">
      <c r="A46">
        <v>21</v>
      </c>
      <c r="B46">
        <v>1125549654.8270693</v>
      </c>
      <c r="C46">
        <v>-166549654.82706928</v>
      </c>
    </row>
    <row r="47" spans="1:3" x14ac:dyDescent="0.15">
      <c r="A47">
        <v>22</v>
      </c>
      <c r="B47">
        <v>353246654.53903431</v>
      </c>
      <c r="C47">
        <v>-288246654.53903431</v>
      </c>
    </row>
    <row r="48" spans="1:3" x14ac:dyDescent="0.15">
      <c r="A48">
        <v>23</v>
      </c>
      <c r="B48">
        <v>129655154.57398747</v>
      </c>
      <c r="C48">
        <v>-46655154.573987469</v>
      </c>
    </row>
    <row r="49" spans="1:3" x14ac:dyDescent="0.15">
      <c r="A49">
        <v>24</v>
      </c>
      <c r="B49">
        <v>521916331.25614625</v>
      </c>
      <c r="C49">
        <v>-373916331.25614625</v>
      </c>
    </row>
    <row r="50" spans="1:3" x14ac:dyDescent="0.15">
      <c r="A50">
        <v>25</v>
      </c>
      <c r="B50">
        <v>461632804.17747486</v>
      </c>
      <c r="C50">
        <v>-146632804.17747486</v>
      </c>
    </row>
    <row r="51" spans="1:3" x14ac:dyDescent="0.15">
      <c r="A51">
        <v>26</v>
      </c>
      <c r="B51">
        <v>832870288.26233816</v>
      </c>
      <c r="C51">
        <v>476129711.73766184</v>
      </c>
    </row>
    <row r="52" spans="1:3" x14ac:dyDescent="0.15">
      <c r="A52">
        <v>27</v>
      </c>
      <c r="B52">
        <v>512127942.66989815</v>
      </c>
      <c r="C52">
        <v>358872057.33010185</v>
      </c>
    </row>
    <row r="53" spans="1:3" x14ac:dyDescent="0.15">
      <c r="A53">
        <v>28</v>
      </c>
      <c r="B53">
        <v>231247617.42921183</v>
      </c>
      <c r="C53">
        <v>-104247617.42921183</v>
      </c>
    </row>
    <row r="54" spans="1:3" x14ac:dyDescent="0.15">
      <c r="A54">
        <v>29</v>
      </c>
      <c r="B54">
        <v>358546283.31716049</v>
      </c>
      <c r="C54">
        <v>63453716.682839513</v>
      </c>
    </row>
    <row r="55" spans="1:3" x14ac:dyDescent="0.15">
      <c r="A55">
        <v>30</v>
      </c>
      <c r="B55">
        <v>541796787.48866999</v>
      </c>
      <c r="C55">
        <v>-111796787.48866999</v>
      </c>
    </row>
    <row r="56" spans="1:3" x14ac:dyDescent="0.15">
      <c r="A56">
        <v>31</v>
      </c>
      <c r="B56">
        <v>565502408.54629099</v>
      </c>
      <c r="C56">
        <v>-112502408.54629099</v>
      </c>
    </row>
    <row r="57" spans="1:3" x14ac:dyDescent="0.15">
      <c r="A57">
        <v>32</v>
      </c>
      <c r="B57">
        <v>807793545.89155662</v>
      </c>
      <c r="C57">
        <v>-234793545.89155662</v>
      </c>
    </row>
    <row r="58" spans="1:3" x14ac:dyDescent="0.15">
      <c r="A58">
        <v>33</v>
      </c>
      <c r="B58">
        <v>586260159.84111786</v>
      </c>
      <c r="C58">
        <v>22739840.158882141</v>
      </c>
    </row>
    <row r="59" spans="1:3" x14ac:dyDescent="0.15">
      <c r="A59">
        <v>34</v>
      </c>
      <c r="B59">
        <v>1010396153.5203525</v>
      </c>
      <c r="C59">
        <v>-241396153.52035248</v>
      </c>
    </row>
    <row r="60" spans="1:3" x14ac:dyDescent="0.15">
      <c r="A60">
        <v>35</v>
      </c>
      <c r="B60">
        <v>385719269.56340933</v>
      </c>
      <c r="C60">
        <v>-15719269.563409328</v>
      </c>
    </row>
    <row r="61" spans="1:3" x14ac:dyDescent="0.15">
      <c r="A61">
        <v>36</v>
      </c>
      <c r="B61">
        <v>811944884.52186966</v>
      </c>
      <c r="C61">
        <v>-399944884.52186966</v>
      </c>
    </row>
    <row r="62" spans="1:3" x14ac:dyDescent="0.15">
      <c r="A62">
        <v>37</v>
      </c>
      <c r="B62">
        <v>223122781.84355828</v>
      </c>
      <c r="C62">
        <v>-37122781.843558282</v>
      </c>
    </row>
    <row r="63" spans="1:3" x14ac:dyDescent="0.15">
      <c r="A63">
        <v>38</v>
      </c>
      <c r="B63">
        <v>937226311.8791697</v>
      </c>
      <c r="C63">
        <v>-733226311.8791697</v>
      </c>
    </row>
    <row r="64" spans="1:3" x14ac:dyDescent="0.15">
      <c r="A64">
        <v>39</v>
      </c>
      <c r="B64">
        <v>396903390.49453044</v>
      </c>
      <c r="C64">
        <v>-298903390.49453044</v>
      </c>
    </row>
    <row r="65" spans="1:3" x14ac:dyDescent="0.15">
      <c r="A65">
        <v>40</v>
      </c>
      <c r="B65">
        <v>241656727.79463547</v>
      </c>
      <c r="C65">
        <v>10343272.205364525</v>
      </c>
    </row>
    <row r="66" spans="1:3" x14ac:dyDescent="0.15">
      <c r="A66">
        <v>41</v>
      </c>
      <c r="B66">
        <v>464704395.03879887</v>
      </c>
      <c r="C66">
        <v>-64704395.038798869</v>
      </c>
    </row>
    <row r="67" spans="1:3" x14ac:dyDescent="0.15">
      <c r="A67">
        <v>42</v>
      </c>
      <c r="B67">
        <v>470881318.87922817</v>
      </c>
      <c r="C67">
        <v>-162881318.87922817</v>
      </c>
    </row>
    <row r="68" spans="1:3" x14ac:dyDescent="0.15">
      <c r="A68">
        <v>43</v>
      </c>
      <c r="B68">
        <v>455523364.57260728</v>
      </c>
      <c r="C68">
        <v>-387523364.57260728</v>
      </c>
    </row>
    <row r="69" spans="1:3" x14ac:dyDescent="0.15">
      <c r="A69">
        <v>44</v>
      </c>
      <c r="B69">
        <v>795407014.23618031</v>
      </c>
      <c r="C69">
        <v>-374407014.23618031</v>
      </c>
    </row>
    <row r="70" spans="1:3" x14ac:dyDescent="0.15">
      <c r="A70">
        <v>45</v>
      </c>
      <c r="B70">
        <v>703806569.28378892</v>
      </c>
      <c r="C70">
        <v>530193430.71621108</v>
      </c>
    </row>
    <row r="71" spans="1:3" x14ac:dyDescent="0.15">
      <c r="A71">
        <v>46</v>
      </c>
      <c r="B71">
        <v>270036357.33819169</v>
      </c>
      <c r="C71">
        <v>-81036357.338191688</v>
      </c>
    </row>
    <row r="72" spans="1:3" x14ac:dyDescent="0.15">
      <c r="A72">
        <v>47</v>
      </c>
      <c r="B72">
        <v>639925999.26168227</v>
      </c>
      <c r="C72">
        <v>-246925999.26168227</v>
      </c>
    </row>
    <row r="73" spans="1:3" x14ac:dyDescent="0.15">
      <c r="A73">
        <v>48</v>
      </c>
      <c r="B73">
        <v>369280509.3445366</v>
      </c>
      <c r="C73">
        <v>544719490.65546346</v>
      </c>
    </row>
    <row r="74" spans="1:3" x14ac:dyDescent="0.15">
      <c r="A74">
        <v>49</v>
      </c>
      <c r="B74">
        <v>636269545.02548897</v>
      </c>
      <c r="C74">
        <v>-446269545.02548897</v>
      </c>
    </row>
    <row r="75" spans="1:3" x14ac:dyDescent="0.15">
      <c r="A75">
        <v>50</v>
      </c>
      <c r="B75">
        <v>241656727.79463547</v>
      </c>
      <c r="C75">
        <v>331343272.20536453</v>
      </c>
    </row>
    <row r="76" spans="1:3" x14ac:dyDescent="0.15">
      <c r="A76">
        <v>51</v>
      </c>
      <c r="B76">
        <v>470881318.87922817</v>
      </c>
      <c r="C76">
        <v>-28881318.879228175</v>
      </c>
    </row>
    <row r="77" spans="1:3" x14ac:dyDescent="0.15">
      <c r="A77">
        <v>52</v>
      </c>
      <c r="B77">
        <v>919383746.37261915</v>
      </c>
      <c r="C77">
        <v>1616253.6273808479</v>
      </c>
    </row>
    <row r="78" spans="1:3" x14ac:dyDescent="0.15">
      <c r="A78">
        <v>53</v>
      </c>
      <c r="B78">
        <v>332498034.33027494</v>
      </c>
      <c r="C78">
        <v>269501965.66972506</v>
      </c>
    </row>
    <row r="79" spans="1:3" x14ac:dyDescent="0.15">
      <c r="A79">
        <v>54</v>
      </c>
      <c r="B79">
        <v>422725633.88628006</v>
      </c>
      <c r="C79">
        <v>-14725633.88628006</v>
      </c>
    </row>
    <row r="80" spans="1:3" x14ac:dyDescent="0.15">
      <c r="A80">
        <v>55</v>
      </c>
      <c r="B80">
        <v>219127848.2862933</v>
      </c>
      <c r="C80">
        <v>209872151.7137067</v>
      </c>
    </row>
    <row r="81" spans="1:3" x14ac:dyDescent="0.15">
      <c r="A81">
        <v>56</v>
      </c>
      <c r="B81">
        <v>1105907509.705538</v>
      </c>
      <c r="C81">
        <v>760092490.29446197</v>
      </c>
    </row>
    <row r="82" spans="1:3" x14ac:dyDescent="0.15">
      <c r="A82">
        <v>57</v>
      </c>
      <c r="B82">
        <v>688483415.23821175</v>
      </c>
      <c r="C82">
        <v>-79483415.238211751</v>
      </c>
    </row>
    <row r="83" spans="1:3" x14ac:dyDescent="0.15">
      <c r="A83">
        <v>58</v>
      </c>
      <c r="B83">
        <v>643593700.87046862</v>
      </c>
      <c r="C83">
        <v>-208593700.87046862</v>
      </c>
    </row>
    <row r="84" spans="1:3" x14ac:dyDescent="0.15">
      <c r="A84">
        <v>59</v>
      </c>
      <c r="B84">
        <v>673340219.1541326</v>
      </c>
      <c r="C84">
        <v>1159659780.8458674</v>
      </c>
    </row>
    <row r="85" spans="1:3" x14ac:dyDescent="0.15">
      <c r="A85">
        <v>60</v>
      </c>
      <c r="B85">
        <v>139661475.81256649</v>
      </c>
      <c r="C85">
        <v>84338524.187433511</v>
      </c>
    </row>
    <row r="86" spans="1:3" x14ac:dyDescent="0.15">
      <c r="A86">
        <v>61</v>
      </c>
      <c r="B86">
        <v>715417032.23020518</v>
      </c>
      <c r="C86">
        <v>-501417032.23020518</v>
      </c>
    </row>
    <row r="87" spans="1:3" x14ac:dyDescent="0.15">
      <c r="A87">
        <v>62</v>
      </c>
      <c r="B87">
        <v>816107470.52477586</v>
      </c>
      <c r="C87">
        <v>-52107470.524775863</v>
      </c>
    </row>
    <row r="88" spans="1:3" x14ac:dyDescent="0.15">
      <c r="A88">
        <v>63</v>
      </c>
      <c r="B88">
        <v>551888855.13494563</v>
      </c>
      <c r="C88">
        <v>6111144.865054369</v>
      </c>
    </row>
    <row r="89" spans="1:3" x14ac:dyDescent="0.15">
      <c r="A89">
        <v>64</v>
      </c>
      <c r="B89">
        <v>361212968.76511401</v>
      </c>
      <c r="C89">
        <v>13787031.234885991</v>
      </c>
    </row>
    <row r="90" spans="1:3" x14ac:dyDescent="0.15">
      <c r="A90">
        <v>65</v>
      </c>
      <c r="B90">
        <v>579295919.91913438</v>
      </c>
      <c r="C90">
        <v>-159295919.91913438</v>
      </c>
    </row>
    <row r="91" spans="1:3" x14ac:dyDescent="0.15">
      <c r="A91">
        <v>66</v>
      </c>
      <c r="B91">
        <v>225137119.68108124</v>
      </c>
      <c r="C91">
        <v>-71137119.681081235</v>
      </c>
    </row>
    <row r="92" spans="1:3" x14ac:dyDescent="0.15">
      <c r="A92">
        <v>67</v>
      </c>
      <c r="B92">
        <v>158097369.84009016</v>
      </c>
      <c r="C92">
        <v>-32097369.840090156</v>
      </c>
    </row>
    <row r="93" spans="1:3" x14ac:dyDescent="0.15">
      <c r="A93">
        <v>68</v>
      </c>
      <c r="B93">
        <v>434494618.19226992</v>
      </c>
      <c r="C93">
        <v>-118494618.19226992</v>
      </c>
    </row>
    <row r="94" spans="1:3" x14ac:dyDescent="0.15">
      <c r="A94">
        <v>69</v>
      </c>
      <c r="B94">
        <v>243772291.98550108</v>
      </c>
      <c r="C94">
        <v>-151772291.98550108</v>
      </c>
    </row>
    <row r="95" spans="1:3" x14ac:dyDescent="0.15">
      <c r="A95">
        <v>70</v>
      </c>
      <c r="B95">
        <v>492854844.55743051</v>
      </c>
      <c r="C95">
        <v>-30854844.557430506</v>
      </c>
    </row>
    <row r="96" spans="1:3" x14ac:dyDescent="0.15">
      <c r="A96">
        <v>71</v>
      </c>
      <c r="B96">
        <v>565502408.54629099</v>
      </c>
      <c r="C96">
        <v>616497591.45370901</v>
      </c>
    </row>
    <row r="97" spans="1:3" x14ac:dyDescent="0.15">
      <c r="A97">
        <v>72</v>
      </c>
      <c r="B97">
        <v>1033852216.0943874</v>
      </c>
      <c r="C97">
        <v>-69852216.094387412</v>
      </c>
    </row>
    <row r="98" spans="1:3" x14ac:dyDescent="0.15">
      <c r="A98">
        <v>73</v>
      </c>
      <c r="B98">
        <v>558673137.09543097</v>
      </c>
      <c r="C98">
        <v>-226673137.09543097</v>
      </c>
    </row>
    <row r="99" spans="1:3" x14ac:dyDescent="0.15">
      <c r="A99">
        <v>74</v>
      </c>
      <c r="B99">
        <v>568933915.33061159</v>
      </c>
      <c r="C99">
        <v>853066084.66938841</v>
      </c>
    </row>
    <row r="100" spans="1:3" x14ac:dyDescent="0.15">
      <c r="A100">
        <v>75</v>
      </c>
      <c r="B100">
        <v>643593700.87046862</v>
      </c>
      <c r="C100">
        <v>932406299.12953138</v>
      </c>
    </row>
    <row r="101" spans="1:3" x14ac:dyDescent="0.15">
      <c r="A101">
        <v>76</v>
      </c>
      <c r="B101">
        <v>437464982.70025176</v>
      </c>
      <c r="C101">
        <v>100535017.29974824</v>
      </c>
    </row>
    <row r="102" spans="1:3" x14ac:dyDescent="0.15">
      <c r="A102">
        <v>77</v>
      </c>
      <c r="B102">
        <v>558673137.09543097</v>
      </c>
      <c r="C102">
        <v>-27673137.09543097</v>
      </c>
    </row>
    <row r="103" spans="1:3" x14ac:dyDescent="0.15">
      <c r="A103">
        <v>78</v>
      </c>
      <c r="B103">
        <v>440446594.5808267</v>
      </c>
      <c r="C103">
        <v>-103446594.5808267</v>
      </c>
    </row>
    <row r="104" spans="1:3" x14ac:dyDescent="0.15">
      <c r="A104">
        <v>79</v>
      </c>
      <c r="B104">
        <v>480231059.93432468</v>
      </c>
      <c r="C104">
        <v>346768940.06567532</v>
      </c>
    </row>
    <row r="105" spans="1:3" ht="14" thickBot="1" x14ac:dyDescent="0.2">
      <c r="A105" s="13">
        <v>80</v>
      </c>
      <c r="B105" s="13">
        <v>871244599.46857965</v>
      </c>
      <c r="C105" s="13">
        <v>-645244599.46857965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7A0D-1DD2-B74D-AD30-1FCBA514F3F6}">
  <dimension ref="A1:I104"/>
  <sheetViews>
    <sheetView workbookViewId="0">
      <selection activeCell="K40" sqref="K40"/>
    </sheetView>
  </sheetViews>
  <sheetFormatPr baseColWidth="10" defaultRowHeight="13" x14ac:dyDescent="0.15"/>
  <sheetData>
    <row r="1" spans="1:9" x14ac:dyDescent="0.15">
      <c r="A1" t="s">
        <v>6</v>
      </c>
    </row>
    <row r="2" spans="1:9" ht="14" thickBot="1" x14ac:dyDescent="0.2"/>
    <row r="3" spans="1:9" x14ac:dyDescent="0.15">
      <c r="A3" s="15" t="s">
        <v>7</v>
      </c>
      <c r="B3" s="15"/>
    </row>
    <row r="4" spans="1:9" x14ac:dyDescent="0.15">
      <c r="A4" t="s">
        <v>8</v>
      </c>
      <c r="B4">
        <v>0.58680436154948457</v>
      </c>
    </row>
    <row r="5" spans="1:9" x14ac:dyDescent="0.15">
      <c r="A5" t="s">
        <v>9</v>
      </c>
      <c r="B5">
        <v>0.34433935873349825</v>
      </c>
    </row>
    <row r="6" spans="1:9" x14ac:dyDescent="0.15">
      <c r="A6" t="s">
        <v>10</v>
      </c>
      <c r="B6">
        <v>0.3359334530762354</v>
      </c>
    </row>
    <row r="7" spans="1:9" x14ac:dyDescent="0.15">
      <c r="A7" t="s">
        <v>11</v>
      </c>
      <c r="B7">
        <v>363616288.41331571</v>
      </c>
    </row>
    <row r="8" spans="1:9" ht="14" thickBot="1" x14ac:dyDescent="0.2">
      <c r="A8" s="13" t="s">
        <v>12</v>
      </c>
      <c r="B8" s="13">
        <v>80</v>
      </c>
    </row>
    <row r="10" spans="1:9" ht="14" thickBot="1" x14ac:dyDescent="0.2">
      <c r="A10" t="s">
        <v>13</v>
      </c>
    </row>
    <row r="11" spans="1:9" x14ac:dyDescent="0.15">
      <c r="A11" s="14"/>
      <c r="B11" s="14" t="s">
        <v>18</v>
      </c>
      <c r="C11" s="14" t="s">
        <v>19</v>
      </c>
      <c r="D11" s="14" t="s">
        <v>20</v>
      </c>
      <c r="E11" s="14" t="s">
        <v>21</v>
      </c>
      <c r="F11" s="14" t="s">
        <v>22</v>
      </c>
    </row>
    <row r="12" spans="1:9" x14ac:dyDescent="0.15">
      <c r="A12" t="s">
        <v>14</v>
      </c>
      <c r="B12">
        <v>1</v>
      </c>
      <c r="C12">
        <v>5.416126681940906E+18</v>
      </c>
      <c r="D12">
        <v>5.416126681940906E+18</v>
      </c>
      <c r="E12">
        <v>40.963980893121651</v>
      </c>
      <c r="F12">
        <v>1.0633973193961706E-8</v>
      </c>
    </row>
    <row r="13" spans="1:9" x14ac:dyDescent="0.15">
      <c r="A13" t="s">
        <v>15</v>
      </c>
      <c r="B13">
        <v>78</v>
      </c>
      <c r="C13">
        <v>1.0312910805559097E+19</v>
      </c>
      <c r="D13">
        <v>1.322168051994756E+17</v>
      </c>
    </row>
    <row r="14" spans="1:9" ht="14" thickBot="1" x14ac:dyDescent="0.2">
      <c r="A14" s="13" t="s">
        <v>16</v>
      </c>
      <c r="B14" s="13">
        <v>79</v>
      </c>
      <c r="C14" s="13">
        <v>1.5729037487500003E+19</v>
      </c>
      <c r="D14" s="13"/>
      <c r="E14" s="13"/>
      <c r="F14" s="13"/>
    </row>
    <row r="15" spans="1:9" ht="14" thickBot="1" x14ac:dyDescent="0.2"/>
    <row r="16" spans="1:9" x14ac:dyDescent="0.15">
      <c r="A16" s="14"/>
      <c r="B16" s="14" t="s">
        <v>23</v>
      </c>
      <c r="C16" s="14" t="s">
        <v>11</v>
      </c>
      <c r="D16" s="14" t="s">
        <v>24</v>
      </c>
      <c r="E16" s="14" t="s">
        <v>25</v>
      </c>
      <c r="F16" s="14" t="s">
        <v>26</v>
      </c>
      <c r="G16" s="14" t="s">
        <v>27</v>
      </c>
      <c r="H16" s="14" t="s">
        <v>38</v>
      </c>
      <c r="I16" s="14" t="s">
        <v>39</v>
      </c>
    </row>
    <row r="17" spans="1:9" x14ac:dyDescent="0.15">
      <c r="A17" t="s">
        <v>17</v>
      </c>
      <c r="B17">
        <v>-621718134.24480247</v>
      </c>
      <c r="C17">
        <v>184613724.17755431</v>
      </c>
      <c r="D17">
        <v>-3.3676701827804423</v>
      </c>
      <c r="E17">
        <v>1.1796701222367295E-3</v>
      </c>
      <c r="F17">
        <v>-989255825.8860966</v>
      </c>
      <c r="G17">
        <v>-254180442.60350829</v>
      </c>
      <c r="H17">
        <v>-929030689.22490561</v>
      </c>
      <c r="I17">
        <v>-314405579.2646994</v>
      </c>
    </row>
    <row r="18" spans="1:9" ht="14" thickBot="1" x14ac:dyDescent="0.2">
      <c r="A18" s="13" t="s">
        <v>46</v>
      </c>
      <c r="B18" s="13">
        <v>0.22918147136187428</v>
      </c>
      <c r="C18" s="13">
        <v>3.5807864863432882E-2</v>
      </c>
      <c r="D18" s="13">
        <v>6.4003109997188137</v>
      </c>
      <c r="E18" s="13">
        <v>1.0633973193961745E-8</v>
      </c>
      <c r="F18" s="13">
        <v>0.15789348855810376</v>
      </c>
      <c r="G18" s="13">
        <v>0.3004694541656448</v>
      </c>
      <c r="H18" s="13">
        <v>0.1695748170430415</v>
      </c>
      <c r="I18" s="13">
        <v>0.28878812568070705</v>
      </c>
    </row>
    <row r="22" spans="1:9" x14ac:dyDescent="0.15">
      <c r="A22" t="s">
        <v>40</v>
      </c>
    </row>
    <row r="23" spans="1:9" ht="14" thickBot="1" x14ac:dyDescent="0.2"/>
    <row r="24" spans="1:9" x14ac:dyDescent="0.15">
      <c r="A24" s="14" t="s">
        <v>41</v>
      </c>
      <c r="B24" s="14" t="s">
        <v>42</v>
      </c>
      <c r="C24" s="14" t="s">
        <v>43</v>
      </c>
    </row>
    <row r="25" spans="1:9" x14ac:dyDescent="0.15">
      <c r="A25">
        <v>1</v>
      </c>
      <c r="B25">
        <v>1185478607.2909753</v>
      </c>
      <c r="C25">
        <v>-173478607.29097533</v>
      </c>
    </row>
    <row r="26" spans="1:9" x14ac:dyDescent="0.15">
      <c r="A26">
        <v>2</v>
      </c>
      <c r="B26">
        <v>334692814.78371656</v>
      </c>
      <c r="C26">
        <v>-87692814.783716559</v>
      </c>
    </row>
    <row r="27" spans="1:9" x14ac:dyDescent="0.15">
      <c r="A27">
        <v>3</v>
      </c>
      <c r="B27">
        <v>165281871.15301931</v>
      </c>
      <c r="C27">
        <v>69718128.846980691</v>
      </c>
    </row>
    <row r="28" spans="1:9" x14ac:dyDescent="0.15">
      <c r="A28">
        <v>4</v>
      </c>
      <c r="B28">
        <v>125507426.79816604</v>
      </c>
      <c r="C28">
        <v>-46507426.798166037</v>
      </c>
    </row>
    <row r="29" spans="1:9" x14ac:dyDescent="0.15">
      <c r="A29">
        <v>5</v>
      </c>
      <c r="B29">
        <v>751253057.13105953</v>
      </c>
      <c r="C29">
        <v>-628253057.13105953</v>
      </c>
    </row>
    <row r="30" spans="1:9" x14ac:dyDescent="0.15">
      <c r="A30">
        <v>6</v>
      </c>
      <c r="B30">
        <v>143940492.5398016</v>
      </c>
      <c r="C30">
        <v>-78940492.539801598</v>
      </c>
    </row>
    <row r="31" spans="1:9" x14ac:dyDescent="0.15">
      <c r="A31">
        <v>7</v>
      </c>
      <c r="B31">
        <v>501271075.4283815</v>
      </c>
      <c r="C31">
        <v>128728924.5716185</v>
      </c>
    </row>
    <row r="32" spans="1:9" x14ac:dyDescent="0.15">
      <c r="A32">
        <v>8</v>
      </c>
      <c r="B32">
        <v>311151294.04542506</v>
      </c>
      <c r="C32">
        <v>189848705.95457494</v>
      </c>
    </row>
    <row r="33" spans="1:3" x14ac:dyDescent="0.15">
      <c r="A33">
        <v>9</v>
      </c>
      <c r="B33">
        <v>790555387.65490735</v>
      </c>
      <c r="C33">
        <v>-590555387.65490735</v>
      </c>
    </row>
    <row r="34" spans="1:3" x14ac:dyDescent="0.15">
      <c r="A34">
        <v>10</v>
      </c>
      <c r="B34">
        <v>491666079.96360534</v>
      </c>
      <c r="C34">
        <v>87333920.036394656</v>
      </c>
    </row>
    <row r="35" spans="1:3" x14ac:dyDescent="0.15">
      <c r="A35">
        <v>11</v>
      </c>
      <c r="B35">
        <v>425586186.32583612</v>
      </c>
      <c r="C35">
        <v>85413813.674163878</v>
      </c>
    </row>
    <row r="36" spans="1:3" x14ac:dyDescent="0.15">
      <c r="A36">
        <v>12</v>
      </c>
      <c r="B36">
        <v>712505345.76790738</v>
      </c>
      <c r="C36">
        <v>-125505345.76790738</v>
      </c>
    </row>
    <row r="37" spans="1:3" x14ac:dyDescent="0.15">
      <c r="A37">
        <v>13</v>
      </c>
      <c r="B37">
        <v>391779627.48524606</v>
      </c>
      <c r="C37">
        <v>7220372.5147539377</v>
      </c>
    </row>
    <row r="38" spans="1:3" x14ac:dyDescent="0.15">
      <c r="A38">
        <v>14</v>
      </c>
      <c r="B38">
        <v>256415883.24006861</v>
      </c>
      <c r="C38">
        <v>-21415883.240068614</v>
      </c>
    </row>
    <row r="39" spans="1:3" x14ac:dyDescent="0.15">
      <c r="A39">
        <v>15</v>
      </c>
      <c r="B39">
        <v>1045826877.7166173</v>
      </c>
      <c r="C39">
        <v>821173122.28338265</v>
      </c>
    </row>
    <row r="40" spans="1:3" x14ac:dyDescent="0.15">
      <c r="A40">
        <v>16</v>
      </c>
      <c r="B40">
        <v>536842331.59845799</v>
      </c>
      <c r="C40">
        <v>-306842331.59845799</v>
      </c>
    </row>
    <row r="41" spans="1:3" x14ac:dyDescent="0.15">
      <c r="A41">
        <v>17</v>
      </c>
      <c r="B41">
        <v>151909132.29905397</v>
      </c>
      <c r="C41">
        <v>-63909132.299053967</v>
      </c>
    </row>
    <row r="42" spans="1:3" x14ac:dyDescent="0.15">
      <c r="A42">
        <v>18</v>
      </c>
      <c r="B42">
        <v>290793103.94434977</v>
      </c>
      <c r="C42">
        <v>-128793103.94434977</v>
      </c>
    </row>
    <row r="43" spans="1:3" x14ac:dyDescent="0.15">
      <c r="A43">
        <v>19</v>
      </c>
      <c r="B43">
        <v>878231051.33910596</v>
      </c>
      <c r="C43">
        <v>887768948.66089404</v>
      </c>
    </row>
    <row r="44" spans="1:3" x14ac:dyDescent="0.15">
      <c r="A44">
        <v>20</v>
      </c>
      <c r="B44">
        <v>394830032.86907262</v>
      </c>
      <c r="C44">
        <v>28169967.130927384</v>
      </c>
    </row>
    <row r="45" spans="1:3" x14ac:dyDescent="0.15">
      <c r="A45">
        <v>21</v>
      </c>
      <c r="B45">
        <v>1073308027.9476197</v>
      </c>
      <c r="C45">
        <v>-114308027.94761968</v>
      </c>
    </row>
    <row r="46" spans="1:3" x14ac:dyDescent="0.15">
      <c r="A46">
        <v>22</v>
      </c>
      <c r="B46">
        <v>364532242.3550328</v>
      </c>
      <c r="C46">
        <v>-299532242.3550328</v>
      </c>
    </row>
    <row r="47" spans="1:3" x14ac:dyDescent="0.15">
      <c r="A47">
        <v>23</v>
      </c>
      <c r="B47">
        <v>59008131.067804597</v>
      </c>
      <c r="C47">
        <v>23991868.932195403</v>
      </c>
    </row>
    <row r="48" spans="1:3" x14ac:dyDescent="0.15">
      <c r="A48">
        <v>24</v>
      </c>
      <c r="B48">
        <v>543369419.90284419</v>
      </c>
      <c r="C48">
        <v>-395369419.90284419</v>
      </c>
    </row>
    <row r="49" spans="1:3" x14ac:dyDescent="0.15">
      <c r="A49">
        <v>25</v>
      </c>
      <c r="B49">
        <v>482102337.16367429</v>
      </c>
      <c r="C49">
        <v>-167102337.16367429</v>
      </c>
    </row>
    <row r="50" spans="1:3" x14ac:dyDescent="0.15">
      <c r="A50">
        <v>26</v>
      </c>
      <c r="B50">
        <v>830412337.33945084</v>
      </c>
      <c r="C50">
        <v>478587662.66054916</v>
      </c>
    </row>
    <row r="51" spans="1:3" x14ac:dyDescent="0.15">
      <c r="A51">
        <v>27</v>
      </c>
      <c r="B51">
        <v>533585662.89040577</v>
      </c>
      <c r="C51">
        <v>337414337.10959423</v>
      </c>
    </row>
    <row r="52" spans="1:3" x14ac:dyDescent="0.15">
      <c r="A52">
        <v>28</v>
      </c>
      <c r="B52">
        <v>214372542.3187328</v>
      </c>
      <c r="C52">
        <v>-87372542.318732798</v>
      </c>
    </row>
    <row r="53" spans="1:3" x14ac:dyDescent="0.15">
      <c r="A53">
        <v>29</v>
      </c>
      <c r="B53">
        <v>370555131.42242289</v>
      </c>
      <c r="C53">
        <v>51444868.577577114</v>
      </c>
    </row>
    <row r="54" spans="1:3" x14ac:dyDescent="0.15">
      <c r="A54">
        <v>30</v>
      </c>
      <c r="B54">
        <v>563060691.92225647</v>
      </c>
      <c r="C54">
        <v>-133060691.92225647</v>
      </c>
    </row>
    <row r="55" spans="1:3" x14ac:dyDescent="0.15">
      <c r="A55">
        <v>31</v>
      </c>
      <c r="B55">
        <v>586242397.75050998</v>
      </c>
      <c r="C55">
        <v>-133242397.75050998</v>
      </c>
    </row>
    <row r="56" spans="1:3" x14ac:dyDescent="0.15">
      <c r="A56">
        <v>32</v>
      </c>
      <c r="B56">
        <v>808603428.52465487</v>
      </c>
      <c r="C56">
        <v>-235603428.52465487</v>
      </c>
    </row>
    <row r="57" spans="1:3" x14ac:dyDescent="0.15">
      <c r="A57">
        <v>33</v>
      </c>
      <c r="B57">
        <v>606291192.86524677</v>
      </c>
      <c r="C57">
        <v>2708807.1347532272</v>
      </c>
    </row>
    <row r="58" spans="1:3" x14ac:dyDescent="0.15">
      <c r="A58">
        <v>34</v>
      </c>
      <c r="B58">
        <v>980022001.84448242</v>
      </c>
      <c r="C58">
        <v>-211022001.84448242</v>
      </c>
    </row>
    <row r="59" spans="1:3" x14ac:dyDescent="0.15">
      <c r="A59">
        <v>35</v>
      </c>
      <c r="B59">
        <v>400944594.52500743</v>
      </c>
      <c r="C59">
        <v>-30944594.525007427</v>
      </c>
    </row>
    <row r="60" spans="1:3" x14ac:dyDescent="0.15">
      <c r="A60">
        <v>36</v>
      </c>
      <c r="B60">
        <v>812226787.58688617</v>
      </c>
      <c r="C60">
        <v>-400226787.58688617</v>
      </c>
    </row>
    <row r="61" spans="1:3" x14ac:dyDescent="0.15">
      <c r="A61">
        <v>37</v>
      </c>
      <c r="B61">
        <v>203335162.65794492</v>
      </c>
      <c r="C61">
        <v>-17335162.657944918</v>
      </c>
    </row>
    <row r="62" spans="1:3" x14ac:dyDescent="0.15">
      <c r="A62">
        <v>38</v>
      </c>
      <c r="B62">
        <v>919298079.19244015</v>
      </c>
      <c r="C62">
        <v>-715298079.19244015</v>
      </c>
    </row>
    <row r="63" spans="1:3" x14ac:dyDescent="0.15">
      <c r="A63">
        <v>39</v>
      </c>
      <c r="B63">
        <v>413228721.39000386</v>
      </c>
      <c r="C63">
        <v>-315228721.39000386</v>
      </c>
    </row>
    <row r="64" spans="1:3" x14ac:dyDescent="0.15">
      <c r="A64">
        <v>40</v>
      </c>
      <c r="B64">
        <v>228272398.55683047</v>
      </c>
      <c r="C64">
        <v>23727601.443169534</v>
      </c>
    </row>
    <row r="65" spans="1:3" x14ac:dyDescent="0.15">
      <c r="A65">
        <v>41</v>
      </c>
      <c r="B65">
        <v>485285667.80089074</v>
      </c>
      <c r="C65">
        <v>-85285667.800890744</v>
      </c>
    </row>
    <row r="66" spans="1:3" x14ac:dyDescent="0.15">
      <c r="A66">
        <v>42</v>
      </c>
      <c r="B66">
        <v>491666079.96360534</v>
      </c>
      <c r="C66">
        <v>-183666079.96360534</v>
      </c>
    </row>
    <row r="67" spans="1:3" x14ac:dyDescent="0.15">
      <c r="A67">
        <v>43</v>
      </c>
      <c r="B67">
        <v>475749426.77752316</v>
      </c>
      <c r="C67">
        <v>-407749426.77752316</v>
      </c>
    </row>
    <row r="68" spans="1:3" x14ac:dyDescent="0.15">
      <c r="A68">
        <v>44</v>
      </c>
      <c r="B68">
        <v>797760853.1145246</v>
      </c>
      <c r="C68">
        <v>-376760853.1145246</v>
      </c>
    </row>
    <row r="69" spans="1:3" x14ac:dyDescent="0.15">
      <c r="A69">
        <v>45</v>
      </c>
      <c r="B69">
        <v>716004946.83560324</v>
      </c>
      <c r="C69">
        <v>517995053.16439676</v>
      </c>
    </row>
    <row r="70" spans="1:3" x14ac:dyDescent="0.15">
      <c r="A70">
        <v>46</v>
      </c>
      <c r="B70">
        <v>264948309.41887119</v>
      </c>
      <c r="C70">
        <v>-75948309.418871194</v>
      </c>
    </row>
    <row r="71" spans="1:3" x14ac:dyDescent="0.15">
      <c r="A71">
        <v>47</v>
      </c>
      <c r="B71">
        <v>657135102.28687859</v>
      </c>
      <c r="C71">
        <v>-264135102.28687859</v>
      </c>
    </row>
    <row r="72" spans="1:3" x14ac:dyDescent="0.15">
      <c r="A72">
        <v>48</v>
      </c>
      <c r="B72">
        <v>382655913.11032987</v>
      </c>
      <c r="C72">
        <v>531344086.88967013</v>
      </c>
    </row>
    <row r="73" spans="1:3" x14ac:dyDescent="0.15">
      <c r="A73">
        <v>49</v>
      </c>
      <c r="B73">
        <v>653713422.91944575</v>
      </c>
      <c r="C73">
        <v>-463713422.91944575</v>
      </c>
    </row>
    <row r="74" spans="1:3" x14ac:dyDescent="0.15">
      <c r="A74">
        <v>50</v>
      </c>
      <c r="B74">
        <v>228272398.55683047</v>
      </c>
      <c r="C74">
        <v>344727601.44316953</v>
      </c>
    </row>
    <row r="75" spans="1:3" x14ac:dyDescent="0.15">
      <c r="A75">
        <v>51</v>
      </c>
      <c r="B75">
        <v>491666079.96360534</v>
      </c>
      <c r="C75">
        <v>-49666079.963605344</v>
      </c>
    </row>
    <row r="76" spans="1:3" x14ac:dyDescent="0.15">
      <c r="A76">
        <v>52</v>
      </c>
      <c r="B76">
        <v>904300443.70651913</v>
      </c>
      <c r="C76">
        <v>16699556.293480873</v>
      </c>
    </row>
    <row r="77" spans="1:3" x14ac:dyDescent="0.15">
      <c r="A77">
        <v>53</v>
      </c>
      <c r="B77">
        <v>340624031.2625621</v>
      </c>
      <c r="C77">
        <v>261375968.7374379</v>
      </c>
    </row>
    <row r="78" spans="1:3" x14ac:dyDescent="0.15">
      <c r="A78">
        <v>54</v>
      </c>
      <c r="B78">
        <v>441136149.15773928</v>
      </c>
      <c r="C78">
        <v>-33136149.157739282</v>
      </c>
    </row>
    <row r="79" spans="1:3" x14ac:dyDescent="0.15">
      <c r="A79">
        <v>55</v>
      </c>
      <c r="B79">
        <v>197843974.60411441</v>
      </c>
      <c r="C79">
        <v>231156025.39588559</v>
      </c>
    </row>
    <row r="80" spans="1:3" x14ac:dyDescent="0.15">
      <c r="A80">
        <v>56</v>
      </c>
      <c r="B80">
        <v>1057577011.7533406</v>
      </c>
      <c r="C80">
        <v>808422988.2466594</v>
      </c>
    </row>
    <row r="81" spans="1:3" x14ac:dyDescent="0.15">
      <c r="A81">
        <v>57</v>
      </c>
      <c r="B81">
        <v>702034044.34138334</v>
      </c>
      <c r="C81">
        <v>-93034044.341383338</v>
      </c>
    </row>
    <row r="82" spans="1:3" x14ac:dyDescent="0.15">
      <c r="A82">
        <v>58</v>
      </c>
      <c r="B82">
        <v>660561365.28373861</v>
      </c>
      <c r="C82">
        <v>-225561365.28373861</v>
      </c>
    </row>
    <row r="83" spans="1:3" x14ac:dyDescent="0.15">
      <c r="A83">
        <v>59</v>
      </c>
      <c r="B83">
        <v>688136479.91799927</v>
      </c>
      <c r="C83">
        <v>1144863520.0820007</v>
      </c>
    </row>
    <row r="84" spans="1:3" x14ac:dyDescent="0.15">
      <c r="A84">
        <v>60</v>
      </c>
      <c r="B84">
        <v>76606976.253682926</v>
      </c>
      <c r="C84">
        <v>147393023.74631709</v>
      </c>
    </row>
    <row r="85" spans="1:3" x14ac:dyDescent="0.15">
      <c r="A85">
        <v>61</v>
      </c>
      <c r="B85">
        <v>726531251.81525409</v>
      </c>
      <c r="C85">
        <v>-512531251.81525409</v>
      </c>
    </row>
    <row r="86" spans="1:3" x14ac:dyDescent="0.15">
      <c r="A86">
        <v>62</v>
      </c>
      <c r="B86">
        <v>815854730.27854455</v>
      </c>
      <c r="C86">
        <v>-51854730.278544545</v>
      </c>
    </row>
    <row r="87" spans="1:3" x14ac:dyDescent="0.15">
      <c r="A87">
        <v>63</v>
      </c>
      <c r="B87">
        <v>572968206.92923021</v>
      </c>
      <c r="C87">
        <v>-14968206.929230213</v>
      </c>
    </row>
    <row r="88" spans="1:3" x14ac:dyDescent="0.15">
      <c r="A88">
        <v>64</v>
      </c>
      <c r="B88">
        <v>373573451.40025878</v>
      </c>
      <c r="C88">
        <v>1426548.5997412205</v>
      </c>
    </row>
    <row r="89" spans="1:3" x14ac:dyDescent="0.15">
      <c r="A89">
        <v>65</v>
      </c>
      <c r="B89">
        <v>599589926.64262557</v>
      </c>
      <c r="C89">
        <v>-179589926.64262557</v>
      </c>
    </row>
    <row r="90" spans="1:3" x14ac:dyDescent="0.15">
      <c r="A90">
        <v>66</v>
      </c>
      <c r="B90">
        <v>206087632.12900105</v>
      </c>
      <c r="C90">
        <v>-52087632.129001051</v>
      </c>
    </row>
    <row r="91" spans="1:3" x14ac:dyDescent="0.15">
      <c r="A91">
        <v>67</v>
      </c>
      <c r="B91">
        <v>107298958.89846513</v>
      </c>
      <c r="C91">
        <v>18701041.101534873</v>
      </c>
    </row>
    <row r="92" spans="1:3" x14ac:dyDescent="0.15">
      <c r="A92">
        <v>68</v>
      </c>
      <c r="B92">
        <v>453658624.7529521</v>
      </c>
      <c r="C92">
        <v>-137658624.7529521</v>
      </c>
    </row>
    <row r="93" spans="1:3" x14ac:dyDescent="0.15">
      <c r="A93">
        <v>69</v>
      </c>
      <c r="B93">
        <v>231066120.69273171</v>
      </c>
      <c r="C93">
        <v>-139066120.69273171</v>
      </c>
    </row>
    <row r="94" spans="1:3" x14ac:dyDescent="0.15">
      <c r="A94">
        <v>70</v>
      </c>
      <c r="B94">
        <v>514141906.86006433</v>
      </c>
      <c r="C94">
        <v>-52141906.860064328</v>
      </c>
    </row>
    <row r="95" spans="1:3" x14ac:dyDescent="0.15">
      <c r="A95">
        <v>71</v>
      </c>
      <c r="B95">
        <v>586242397.75050998</v>
      </c>
      <c r="C95">
        <v>595757602.24949002</v>
      </c>
    </row>
    <row r="96" spans="1:3" x14ac:dyDescent="0.15">
      <c r="A96">
        <v>72</v>
      </c>
      <c r="B96">
        <v>999238868.21817553</v>
      </c>
      <c r="C96">
        <v>-35238868.21817553</v>
      </c>
    </row>
    <row r="97" spans="1:3" x14ac:dyDescent="0.15">
      <c r="A97">
        <v>73</v>
      </c>
      <c r="B97">
        <v>579596135.08101559</v>
      </c>
      <c r="C97">
        <v>-247596135.08101559</v>
      </c>
    </row>
    <row r="98" spans="1:3" x14ac:dyDescent="0.15">
      <c r="A98">
        <v>74</v>
      </c>
      <c r="B98">
        <v>589572404.52939808</v>
      </c>
      <c r="C98">
        <v>832427595.47060192</v>
      </c>
    </row>
    <row r="99" spans="1:3" x14ac:dyDescent="0.15">
      <c r="A99">
        <v>75</v>
      </c>
      <c r="B99">
        <v>660561365.28373861</v>
      </c>
      <c r="C99">
        <v>915438634.71626139</v>
      </c>
    </row>
    <row r="100" spans="1:3" x14ac:dyDescent="0.15">
      <c r="A100">
        <v>76</v>
      </c>
      <c r="B100">
        <v>456800702.72532338</v>
      </c>
      <c r="C100">
        <v>81199297.274676621</v>
      </c>
    </row>
    <row r="101" spans="1:3" x14ac:dyDescent="0.15">
      <c r="A101">
        <v>77</v>
      </c>
      <c r="B101">
        <v>579596135.08101559</v>
      </c>
      <c r="C101">
        <v>-48596135.081015587</v>
      </c>
    </row>
    <row r="102" spans="1:3" x14ac:dyDescent="0.15">
      <c r="A102">
        <v>78</v>
      </c>
      <c r="B102">
        <v>459947364.32712191</v>
      </c>
      <c r="C102">
        <v>-122947364.32712191</v>
      </c>
    </row>
    <row r="103" spans="1:3" x14ac:dyDescent="0.15">
      <c r="A103">
        <v>79</v>
      </c>
      <c r="B103">
        <v>501271075.4283815</v>
      </c>
      <c r="C103">
        <v>325728924.5716185</v>
      </c>
    </row>
    <row r="104" spans="1:3" ht="14" thickBot="1" x14ac:dyDescent="0.2">
      <c r="A104" s="13">
        <v>80</v>
      </c>
      <c r="B104" s="13">
        <v>863435095.54798329</v>
      </c>
      <c r="C104" s="13">
        <v>-637435095.54798329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ECC7-A341-164F-9D43-D01770D23CC7}">
  <dimension ref="A1:I104"/>
  <sheetViews>
    <sheetView workbookViewId="0">
      <selection activeCell="A18" sqref="A1:G18"/>
    </sheetView>
  </sheetViews>
  <sheetFormatPr baseColWidth="10" defaultRowHeight="13" x14ac:dyDescent="0.15"/>
  <cols>
    <col min="4" max="5" width="12.6640625" bestFit="1" customWidth="1"/>
    <col min="6" max="6" width="12.33203125" bestFit="1" customWidth="1"/>
  </cols>
  <sheetData>
    <row r="1" spans="1:9" x14ac:dyDescent="0.15">
      <c r="A1" s="21" t="s">
        <v>6</v>
      </c>
      <c r="B1" s="21"/>
      <c r="C1" s="21"/>
      <c r="D1" s="21"/>
      <c r="E1" s="21"/>
      <c r="F1" s="21"/>
      <c r="G1" s="21"/>
    </row>
    <row r="2" spans="1:9" ht="14" thickBot="1" x14ac:dyDescent="0.2">
      <c r="A2" s="21"/>
      <c r="B2" s="21"/>
      <c r="C2" s="21"/>
      <c r="D2" s="21"/>
      <c r="E2" s="21"/>
      <c r="F2" s="21"/>
      <c r="G2" s="21"/>
    </row>
    <row r="3" spans="1:9" x14ac:dyDescent="0.15">
      <c r="A3" s="22" t="s">
        <v>7</v>
      </c>
      <c r="B3" s="22"/>
      <c r="C3" s="21"/>
      <c r="D3" s="21"/>
      <c r="E3" s="21"/>
      <c r="F3" s="21"/>
      <c r="G3" s="21"/>
    </row>
    <row r="4" spans="1:9" x14ac:dyDescent="0.15">
      <c r="A4" s="21" t="s">
        <v>8</v>
      </c>
      <c r="B4" s="21">
        <v>0.5743488814245582</v>
      </c>
      <c r="C4" s="21"/>
      <c r="D4" s="21"/>
      <c r="E4" s="21"/>
      <c r="F4" s="21"/>
      <c r="G4" s="21"/>
    </row>
    <row r="5" spans="1:9" x14ac:dyDescent="0.15">
      <c r="A5" s="21" t="s">
        <v>9</v>
      </c>
      <c r="B5" s="21">
        <v>0.32987663759364128</v>
      </c>
      <c r="C5" s="21"/>
      <c r="D5" s="21"/>
      <c r="E5" s="21"/>
      <c r="F5" s="21"/>
      <c r="G5" s="21"/>
    </row>
    <row r="6" spans="1:9" x14ac:dyDescent="0.15">
      <c r="A6" s="21" t="s">
        <v>10</v>
      </c>
      <c r="B6" s="21">
        <v>0.32128531243458536</v>
      </c>
      <c r="C6" s="21"/>
      <c r="D6" s="21"/>
      <c r="E6" s="21"/>
      <c r="F6" s="21"/>
      <c r="G6" s="21"/>
    </row>
    <row r="7" spans="1:9" x14ac:dyDescent="0.15">
      <c r="A7" s="21" t="s">
        <v>11</v>
      </c>
      <c r="B7" s="21">
        <v>367604781.6529212</v>
      </c>
      <c r="C7" s="21"/>
      <c r="D7" s="21"/>
      <c r="E7" s="21"/>
      <c r="F7" s="21"/>
      <c r="G7" s="21"/>
    </row>
    <row r="8" spans="1:9" ht="14" thickBot="1" x14ac:dyDescent="0.2">
      <c r="A8" s="23" t="s">
        <v>12</v>
      </c>
      <c r="B8" s="23">
        <v>80</v>
      </c>
      <c r="C8" s="21"/>
      <c r="D8" s="21"/>
      <c r="E8" s="21"/>
      <c r="F8" s="21"/>
      <c r="G8" s="21"/>
    </row>
    <row r="9" spans="1:9" x14ac:dyDescent="0.15">
      <c r="A9" s="21"/>
      <c r="B9" s="21"/>
      <c r="C9" s="21"/>
      <c r="D9" s="21"/>
      <c r="E9" s="21"/>
      <c r="F9" s="21"/>
      <c r="G9" s="21"/>
    </row>
    <row r="10" spans="1:9" ht="14" thickBot="1" x14ac:dyDescent="0.2">
      <c r="A10" s="21" t="s">
        <v>13</v>
      </c>
      <c r="B10" s="21"/>
      <c r="C10" s="21"/>
      <c r="D10" s="21"/>
      <c r="E10" s="21"/>
      <c r="F10" s="21"/>
      <c r="G10" s="21"/>
    </row>
    <row r="11" spans="1:9" x14ac:dyDescent="0.15">
      <c r="A11" s="24"/>
      <c r="B11" s="24" t="s">
        <v>18</v>
      </c>
      <c r="C11" s="24" t="s">
        <v>19</v>
      </c>
      <c r="D11" s="24" t="s">
        <v>20</v>
      </c>
      <c r="E11" s="24" t="s">
        <v>21</v>
      </c>
      <c r="F11" s="24" t="s">
        <v>22</v>
      </c>
      <c r="G11" s="21"/>
    </row>
    <row r="12" spans="1:9" x14ac:dyDescent="0.15">
      <c r="A12" s="21" t="s">
        <v>14</v>
      </c>
      <c r="B12" s="21">
        <v>1</v>
      </c>
      <c r="C12" s="21">
        <v>5.1886419989608366E+18</v>
      </c>
      <c r="D12" s="21">
        <v>5.1886419989608366E+18</v>
      </c>
      <c r="E12" s="21">
        <v>38.39647917945782</v>
      </c>
      <c r="F12" s="21">
        <v>2.5406381731879462E-8</v>
      </c>
      <c r="G12" s="21"/>
    </row>
    <row r="13" spans="1:9" x14ac:dyDescent="0.15">
      <c r="A13" s="21" t="s">
        <v>15</v>
      </c>
      <c r="B13" s="21">
        <v>78</v>
      </c>
      <c r="C13" s="21">
        <v>1.0540395488539167E+19</v>
      </c>
      <c r="D13" s="21">
        <v>1.3513327549409189E+17</v>
      </c>
      <c r="E13" s="21"/>
      <c r="F13" s="21"/>
      <c r="G13" s="21"/>
    </row>
    <row r="14" spans="1:9" ht="14" thickBot="1" x14ac:dyDescent="0.2">
      <c r="A14" s="23" t="s">
        <v>16</v>
      </c>
      <c r="B14" s="23">
        <v>79</v>
      </c>
      <c r="C14" s="23">
        <v>1.5729037487500003E+19</v>
      </c>
      <c r="D14" s="23"/>
      <c r="E14" s="23"/>
      <c r="F14" s="23"/>
      <c r="G14" s="21"/>
    </row>
    <row r="15" spans="1:9" ht="14" thickBot="1" x14ac:dyDescent="0.2">
      <c r="A15" s="21"/>
      <c r="B15" s="21"/>
      <c r="C15" s="21"/>
      <c r="D15" s="21"/>
      <c r="E15" s="21"/>
      <c r="F15" s="21"/>
      <c r="G15" s="21"/>
    </row>
    <row r="16" spans="1:9" x14ac:dyDescent="0.15">
      <c r="A16" s="24"/>
      <c r="B16" s="24" t="s">
        <v>23</v>
      </c>
      <c r="C16" s="24" t="s">
        <v>11</v>
      </c>
      <c r="D16" s="24" t="s">
        <v>24</v>
      </c>
      <c r="E16" s="24" t="s">
        <v>25</v>
      </c>
      <c r="F16" s="24" t="s">
        <v>26</v>
      </c>
      <c r="G16" s="24" t="s">
        <v>27</v>
      </c>
      <c r="H16" s="14" t="s">
        <v>38</v>
      </c>
      <c r="I16" s="14" t="s">
        <v>39</v>
      </c>
    </row>
    <row r="17" spans="1:9" x14ac:dyDescent="0.15">
      <c r="A17" s="21" t="s">
        <v>17</v>
      </c>
      <c r="B17" s="21">
        <v>-24310768905.890331</v>
      </c>
      <c r="C17" s="21">
        <v>4009195489.4954352</v>
      </c>
      <c r="D17" s="21">
        <v>-6.063752433521242</v>
      </c>
      <c r="E17" s="21">
        <v>4.4599977192231221E-8</v>
      </c>
      <c r="F17" s="21">
        <v>-32292463994.445374</v>
      </c>
      <c r="G17" s="21">
        <v>-16329073817.335287</v>
      </c>
      <c r="H17">
        <v>-30984574522.349182</v>
      </c>
      <c r="I17">
        <v>-17636963289.43148</v>
      </c>
    </row>
    <row r="18" spans="1:9" ht="14" thickBot="1" x14ac:dyDescent="0.2">
      <c r="A18" s="23" t="s">
        <v>3</v>
      </c>
      <c r="B18" s="23">
        <v>2226680074.6633625</v>
      </c>
      <c r="C18" s="23">
        <v>359345426.15325648</v>
      </c>
      <c r="D18" s="23">
        <v>6.1964892624338299</v>
      </c>
      <c r="E18" s="23">
        <v>2.5406381731880153E-8</v>
      </c>
      <c r="F18" s="23">
        <v>1511278286.3152635</v>
      </c>
      <c r="G18" s="23">
        <v>2942081863.0114613</v>
      </c>
      <c r="H18" s="13">
        <v>1628504822.3979208</v>
      </c>
      <c r="I18" s="13">
        <v>2824855326.9288039</v>
      </c>
    </row>
    <row r="20" spans="1:9" x14ac:dyDescent="0.15">
      <c r="D20" t="s">
        <v>47</v>
      </c>
      <c r="E20" t="s">
        <v>45</v>
      </c>
    </row>
    <row r="21" spans="1:9" x14ac:dyDescent="0.15">
      <c r="D21">
        <f>B17</f>
        <v>-24310768905.890331</v>
      </c>
      <c r="E21">
        <f>B18</f>
        <v>2226680074.6633625</v>
      </c>
    </row>
    <row r="22" spans="1:9" x14ac:dyDescent="0.15">
      <c r="A22" t="s">
        <v>40</v>
      </c>
    </row>
    <row r="23" spans="1:9" ht="14" thickBot="1" x14ac:dyDescent="0.2"/>
    <row r="24" spans="1:9" x14ac:dyDescent="0.15">
      <c r="A24" s="14" t="s">
        <v>41</v>
      </c>
      <c r="B24" s="14" t="s">
        <v>42</v>
      </c>
      <c r="C24" s="14" t="s">
        <v>43</v>
      </c>
      <c r="E24" s="39">
        <f>E17</f>
        <v>4.4599977192231221E-8</v>
      </c>
      <c r="F24">
        <f>E18</f>
        <v>2.5406381731880153E-8</v>
      </c>
    </row>
    <row r="25" spans="1:9" x14ac:dyDescent="0.15">
      <c r="A25">
        <v>1</v>
      </c>
      <c r="B25">
        <v>1060339895.2563856</v>
      </c>
      <c r="C25">
        <v>-48339895.256385565</v>
      </c>
    </row>
    <row r="26" spans="1:9" x14ac:dyDescent="0.15">
      <c r="A26">
        <v>2</v>
      </c>
      <c r="B26">
        <v>351872109.89741486</v>
      </c>
      <c r="C26">
        <v>-104872109.89741486</v>
      </c>
    </row>
    <row r="27" spans="1:9" x14ac:dyDescent="0.15">
      <c r="A27">
        <v>3</v>
      </c>
      <c r="B27">
        <v>134815972.59195122</v>
      </c>
      <c r="C27">
        <v>100184027.40804878</v>
      </c>
    </row>
    <row r="28" spans="1:9" x14ac:dyDescent="0.15">
      <c r="A28">
        <v>4</v>
      </c>
      <c r="B28">
        <v>77076866.957388967</v>
      </c>
      <c r="C28">
        <v>1923133.0426110327</v>
      </c>
    </row>
    <row r="29" spans="1:9" x14ac:dyDescent="0.15">
      <c r="A29">
        <v>5</v>
      </c>
      <c r="B29">
        <v>754394343.79662001</v>
      </c>
      <c r="C29">
        <v>-631394343.79662001</v>
      </c>
    </row>
    <row r="30" spans="1:9" x14ac:dyDescent="0.15">
      <c r="A30">
        <v>6</v>
      </c>
      <c r="B30">
        <v>104208204.40570313</v>
      </c>
      <c r="C30">
        <v>-39208204.405703127</v>
      </c>
    </row>
    <row r="31" spans="1:9" x14ac:dyDescent="0.15">
      <c r="A31">
        <v>7</v>
      </c>
      <c r="B31">
        <v>530631837.2432555</v>
      </c>
      <c r="C31">
        <v>99368162.756744504</v>
      </c>
    </row>
    <row r="32" spans="1:9" x14ac:dyDescent="0.15">
      <c r="A32">
        <v>8</v>
      </c>
      <c r="B32">
        <v>324124958.64255089</v>
      </c>
      <c r="C32">
        <v>176875041.35744911</v>
      </c>
    </row>
    <row r="33" spans="1:3" x14ac:dyDescent="0.15">
      <c r="A33">
        <v>9</v>
      </c>
      <c r="B33">
        <v>785816906.07721448</v>
      </c>
      <c r="C33">
        <v>-585816906.07721448</v>
      </c>
    </row>
    <row r="34" spans="1:3" x14ac:dyDescent="0.15">
      <c r="A34">
        <v>10</v>
      </c>
      <c r="B34">
        <v>521068414.92038018</v>
      </c>
      <c r="C34">
        <v>57931585.079619825</v>
      </c>
    </row>
    <row r="35" spans="1:3" x14ac:dyDescent="0.15">
      <c r="A35">
        <v>11</v>
      </c>
      <c r="B35">
        <v>452949072.76735544</v>
      </c>
      <c r="C35">
        <v>58050927.232644558</v>
      </c>
    </row>
    <row r="36" spans="1:3" x14ac:dyDescent="0.15">
      <c r="A36">
        <v>12</v>
      </c>
      <c r="B36">
        <v>722521996.34360087</v>
      </c>
      <c r="C36">
        <v>-135521996.34360087</v>
      </c>
    </row>
    <row r="37" spans="1:3" x14ac:dyDescent="0.15">
      <c r="A37">
        <v>13</v>
      </c>
      <c r="B37">
        <v>416418080.66665548</v>
      </c>
      <c r="C37">
        <v>-17418080.666655481</v>
      </c>
    </row>
    <row r="38" spans="1:3" x14ac:dyDescent="0.15">
      <c r="A38">
        <v>14</v>
      </c>
      <c r="B38">
        <v>256805716.20841283</v>
      </c>
      <c r="C38">
        <v>-21805716.208412826</v>
      </c>
    </row>
    <row r="39" spans="1:3" x14ac:dyDescent="0.15">
      <c r="A39">
        <v>15</v>
      </c>
      <c r="B39">
        <v>970800200.77697492</v>
      </c>
      <c r="C39">
        <v>896199799.22302508</v>
      </c>
    </row>
    <row r="40" spans="1:3" x14ac:dyDescent="0.15">
      <c r="A40">
        <v>16</v>
      </c>
      <c r="B40">
        <v>565350443.96724784</v>
      </c>
      <c r="C40">
        <v>-335350443.96724784</v>
      </c>
    </row>
    <row r="41" spans="1:3" x14ac:dyDescent="0.15">
      <c r="A41">
        <v>17</v>
      </c>
      <c r="B41">
        <v>115735478.16382779</v>
      </c>
      <c r="C41">
        <v>-27735478.163827792</v>
      </c>
    </row>
    <row r="42" spans="1:3" x14ac:dyDescent="0.15">
      <c r="A42">
        <v>18</v>
      </c>
      <c r="B42">
        <v>299559287.06392437</v>
      </c>
      <c r="C42">
        <v>-137559287.06392437</v>
      </c>
    </row>
    <row r="43" spans="1:3" x14ac:dyDescent="0.15">
      <c r="A43">
        <v>19</v>
      </c>
      <c r="B43">
        <v>852873820.24978709</v>
      </c>
      <c r="C43">
        <v>913126179.75021291</v>
      </c>
    </row>
    <row r="44" spans="1:3" x14ac:dyDescent="0.15">
      <c r="A44">
        <v>20</v>
      </c>
      <c r="B44">
        <v>419763956.69014543</v>
      </c>
      <c r="C44">
        <v>3236043.3098545671</v>
      </c>
    </row>
    <row r="45" spans="1:3" x14ac:dyDescent="0.15">
      <c r="A45">
        <v>21</v>
      </c>
      <c r="B45">
        <v>988998504.66815627</v>
      </c>
      <c r="C45">
        <v>-29998504.668156266</v>
      </c>
    </row>
    <row r="46" spans="1:3" x14ac:dyDescent="0.15">
      <c r="A46">
        <v>22</v>
      </c>
      <c r="B46">
        <v>386076777.4877215</v>
      </c>
      <c r="C46">
        <v>-321076777.4877215</v>
      </c>
    </row>
    <row r="47" spans="1:3" x14ac:dyDescent="0.15">
      <c r="A47">
        <v>23</v>
      </c>
      <c r="B47">
        <v>-26694028.618272118</v>
      </c>
      <c r="C47">
        <v>109694028.61827213</v>
      </c>
    </row>
    <row r="48" spans="1:3" x14ac:dyDescent="0.15">
      <c r="A48">
        <v>24</v>
      </c>
      <c r="B48">
        <v>571605167.39079928</v>
      </c>
      <c r="C48">
        <v>-423605167.39079928</v>
      </c>
    </row>
    <row r="49" spans="1:3" x14ac:dyDescent="0.15">
      <c r="A49">
        <v>25</v>
      </c>
      <c r="B49">
        <v>511463741.18736953</v>
      </c>
      <c r="C49">
        <v>-196463741.18736953</v>
      </c>
    </row>
    <row r="50" spans="1:3" x14ac:dyDescent="0.15">
      <c r="A50">
        <v>26</v>
      </c>
      <c r="B50">
        <v>816802201.54043019</v>
      </c>
      <c r="C50">
        <v>492197798.45956981</v>
      </c>
    </row>
    <row r="51" spans="1:3" x14ac:dyDescent="0.15">
      <c r="A51">
        <v>27</v>
      </c>
      <c r="B51">
        <v>562216481.34622073</v>
      </c>
      <c r="C51">
        <v>308783518.65377927</v>
      </c>
    </row>
    <row r="52" spans="1:3" x14ac:dyDescent="0.15">
      <c r="A52">
        <v>28</v>
      </c>
      <c r="B52">
        <v>202182860.85299769</v>
      </c>
      <c r="C52">
        <v>-75182860.85299769</v>
      </c>
    </row>
    <row r="53" spans="1:3" x14ac:dyDescent="0.15">
      <c r="A53">
        <v>29</v>
      </c>
      <c r="B53">
        <v>392855108.67243963</v>
      </c>
      <c r="C53">
        <v>29144891.327560365</v>
      </c>
    </row>
    <row r="54" spans="1:3" x14ac:dyDescent="0.15">
      <c r="A54">
        <v>30</v>
      </c>
      <c r="B54">
        <v>590264606.81866992</v>
      </c>
      <c r="C54">
        <v>-160264606.81866992</v>
      </c>
    </row>
    <row r="55" spans="1:3" x14ac:dyDescent="0.15">
      <c r="A55">
        <v>31</v>
      </c>
      <c r="B55">
        <v>611838146.54183519</v>
      </c>
      <c r="C55">
        <v>-158838146.54183519</v>
      </c>
    </row>
    <row r="56" spans="1:3" x14ac:dyDescent="0.15">
      <c r="A56">
        <v>32</v>
      </c>
      <c r="B56">
        <v>799954604.83878791</v>
      </c>
      <c r="C56">
        <v>-226954604.83878791</v>
      </c>
    </row>
    <row r="57" spans="1:3" x14ac:dyDescent="0.15">
      <c r="A57">
        <v>33</v>
      </c>
      <c r="B57">
        <v>630164834.97364604</v>
      </c>
      <c r="C57">
        <v>-21164834.973646045</v>
      </c>
    </row>
    <row r="58" spans="1:3" x14ac:dyDescent="0.15">
      <c r="A58">
        <v>34</v>
      </c>
      <c r="B58">
        <v>925975050.24860489</v>
      </c>
      <c r="C58">
        <v>-156975050.24860489</v>
      </c>
    </row>
    <row r="59" spans="1:3" x14ac:dyDescent="0.15">
      <c r="A59">
        <v>35</v>
      </c>
      <c r="B59">
        <v>426440663.56572717</v>
      </c>
      <c r="C59">
        <v>-56440663.565727174</v>
      </c>
    </row>
    <row r="60" spans="1:3" x14ac:dyDescent="0.15">
      <c r="A60">
        <v>36</v>
      </c>
      <c r="B60">
        <v>802771404.80286968</v>
      </c>
      <c r="C60">
        <v>-390771404.80286968</v>
      </c>
    </row>
    <row r="61" spans="1:3" x14ac:dyDescent="0.15">
      <c r="A61">
        <v>37</v>
      </c>
      <c r="B61">
        <v>187387589.9760904</v>
      </c>
      <c r="C61">
        <v>-1387589.9760904014</v>
      </c>
    </row>
    <row r="62" spans="1:3" x14ac:dyDescent="0.15">
      <c r="A62">
        <v>38</v>
      </c>
      <c r="B62">
        <v>882946076.98869586</v>
      </c>
      <c r="C62">
        <v>-678946076.98869586</v>
      </c>
    </row>
    <row r="63" spans="1:3" x14ac:dyDescent="0.15">
      <c r="A63">
        <v>39</v>
      </c>
      <c r="B63">
        <v>439734315.43698907</v>
      </c>
      <c r="C63">
        <v>-341734315.43698907</v>
      </c>
    </row>
    <row r="64" spans="1:3" x14ac:dyDescent="0.15">
      <c r="A64">
        <v>40</v>
      </c>
      <c r="B64">
        <v>220539766.7553094</v>
      </c>
      <c r="C64">
        <v>31460233.244690597</v>
      </c>
    </row>
    <row r="65" spans="1:3" x14ac:dyDescent="0.15">
      <c r="A65">
        <v>41</v>
      </c>
      <c r="B65">
        <v>514669904.55579537</v>
      </c>
      <c r="C65">
        <v>-114669904.55579537</v>
      </c>
    </row>
    <row r="66" spans="1:3" x14ac:dyDescent="0.15">
      <c r="A66">
        <v>42</v>
      </c>
      <c r="B66">
        <v>521068414.92038018</v>
      </c>
      <c r="C66">
        <v>-213068414.92038018</v>
      </c>
    </row>
    <row r="67" spans="1:3" x14ac:dyDescent="0.15">
      <c r="A67">
        <v>43</v>
      </c>
      <c r="B67">
        <v>505037531.60535246</v>
      </c>
      <c r="C67">
        <v>-437037531.60535246</v>
      </c>
    </row>
    <row r="68" spans="1:3" x14ac:dyDescent="0.15">
      <c r="A68">
        <v>44</v>
      </c>
      <c r="B68">
        <v>791482761.74153018</v>
      </c>
      <c r="C68">
        <v>-370482761.74153018</v>
      </c>
    </row>
    <row r="69" spans="1:3" x14ac:dyDescent="0.15">
      <c r="A69">
        <v>45</v>
      </c>
      <c r="B69">
        <v>725438408.12222564</v>
      </c>
      <c r="C69">
        <v>508561591.87777436</v>
      </c>
    </row>
    <row r="70" spans="1:3" x14ac:dyDescent="0.15">
      <c r="A70">
        <v>46</v>
      </c>
      <c r="B70">
        <v>267571313.68853593</v>
      </c>
      <c r="C70">
        <v>-78571313.688535929</v>
      </c>
    </row>
    <row r="71" spans="1:3" x14ac:dyDescent="0.15">
      <c r="A71">
        <v>47</v>
      </c>
      <c r="B71">
        <v>675332308.09233701</v>
      </c>
      <c r="C71">
        <v>-282332308.09233701</v>
      </c>
    </row>
    <row r="72" spans="1:3" x14ac:dyDescent="0.15">
      <c r="A72">
        <v>48</v>
      </c>
      <c r="B72">
        <v>406350180.73530829</v>
      </c>
      <c r="C72">
        <v>507649819.26469171</v>
      </c>
    </row>
    <row r="73" spans="1:3" x14ac:dyDescent="0.15">
      <c r="A73">
        <v>49</v>
      </c>
      <c r="B73">
        <v>672349481.02248859</v>
      </c>
      <c r="C73">
        <v>-482349481.02248859</v>
      </c>
    </row>
    <row r="74" spans="1:3" x14ac:dyDescent="0.15">
      <c r="A74">
        <v>50</v>
      </c>
      <c r="B74">
        <v>220539766.7553094</v>
      </c>
      <c r="C74">
        <v>352460233.2446906</v>
      </c>
    </row>
    <row r="75" spans="1:3" x14ac:dyDescent="0.15">
      <c r="A75">
        <v>51</v>
      </c>
      <c r="B75">
        <v>521068414.92038018</v>
      </c>
      <c r="C75">
        <v>-79068414.920380175</v>
      </c>
    </row>
    <row r="76" spans="1:3" x14ac:dyDescent="0.15">
      <c r="A76">
        <v>52</v>
      </c>
      <c r="B76">
        <v>872057644.16871881</v>
      </c>
      <c r="C76">
        <v>48942355.831281185</v>
      </c>
    </row>
    <row r="77" spans="1:3" x14ac:dyDescent="0.15">
      <c r="A77">
        <v>53</v>
      </c>
      <c r="B77">
        <v>358755206.7992543</v>
      </c>
      <c r="C77">
        <v>243244793.2007457</v>
      </c>
    </row>
    <row r="78" spans="1:3" x14ac:dyDescent="0.15">
      <c r="A78">
        <v>54</v>
      </c>
      <c r="B78">
        <v>469357990.61121476</v>
      </c>
      <c r="C78">
        <v>-61357990.611214757</v>
      </c>
    </row>
    <row r="79" spans="1:3" x14ac:dyDescent="0.15">
      <c r="A79">
        <v>55</v>
      </c>
      <c r="B79">
        <v>179952925.05689999</v>
      </c>
      <c r="C79">
        <v>249047074.94310001</v>
      </c>
    </row>
    <row r="80" spans="1:3" x14ac:dyDescent="0.15">
      <c r="A80">
        <v>56</v>
      </c>
      <c r="B80">
        <v>978617692.9776268</v>
      </c>
      <c r="C80">
        <v>887382307.0223732</v>
      </c>
    </row>
    <row r="81" spans="1:3" x14ac:dyDescent="0.15">
      <c r="A81">
        <v>57</v>
      </c>
      <c r="B81">
        <v>713749771.96573055</v>
      </c>
      <c r="C81">
        <v>-104749771.96573055</v>
      </c>
    </row>
    <row r="82" spans="1:3" x14ac:dyDescent="0.15">
      <c r="A82">
        <v>58</v>
      </c>
      <c r="B82">
        <v>678311144.75688922</v>
      </c>
      <c r="C82">
        <v>-243311144.75688922</v>
      </c>
    </row>
    <row r="83" spans="1:3" x14ac:dyDescent="0.15">
      <c r="A83">
        <v>59</v>
      </c>
      <c r="B83">
        <v>701999454.0664233</v>
      </c>
      <c r="C83">
        <v>1131000545.9335766</v>
      </c>
    </row>
    <row r="84" spans="1:3" x14ac:dyDescent="0.15">
      <c r="A84">
        <v>60</v>
      </c>
      <c r="B84">
        <v>1723422.7581322864</v>
      </c>
      <c r="C84">
        <v>222276577.24186772</v>
      </c>
    </row>
    <row r="85" spans="1:3" x14ac:dyDescent="0.15">
      <c r="A85">
        <v>61</v>
      </c>
      <c r="B85">
        <v>734164794.5019635</v>
      </c>
      <c r="C85">
        <v>-520164794.5019635</v>
      </c>
    </row>
    <row r="86" spans="1:3" x14ac:dyDescent="0.15">
      <c r="A86">
        <v>62</v>
      </c>
      <c r="B86">
        <v>805584645.95366478</v>
      </c>
      <c r="C86">
        <v>-41584645.95366478</v>
      </c>
    </row>
    <row r="87" spans="1:3" x14ac:dyDescent="0.15">
      <c r="A87">
        <v>63</v>
      </c>
      <c r="B87">
        <v>599536015.38913059</v>
      </c>
      <c r="C87">
        <v>-41536015.389130592</v>
      </c>
    </row>
    <row r="88" spans="1:3" x14ac:dyDescent="0.15">
      <c r="A88">
        <v>64</v>
      </c>
      <c r="B88">
        <v>396236552.10841078</v>
      </c>
      <c r="C88">
        <v>-21236552.108410776</v>
      </c>
    </row>
    <row r="89" spans="1:3" x14ac:dyDescent="0.15">
      <c r="A89">
        <v>65</v>
      </c>
      <c r="B89">
        <v>624072683.22627735</v>
      </c>
      <c r="C89">
        <v>-204072683.22627735</v>
      </c>
    </row>
    <row r="90" spans="1:3" x14ac:dyDescent="0.15">
      <c r="A90">
        <v>66</v>
      </c>
      <c r="B90">
        <v>191095634.25459304</v>
      </c>
      <c r="C90">
        <v>-37095634.254593045</v>
      </c>
    </row>
    <row r="91" spans="1:3" x14ac:dyDescent="0.15">
      <c r="A91">
        <v>67</v>
      </c>
      <c r="B91">
        <v>49610861.405274555</v>
      </c>
      <c r="C91">
        <v>76389138.594725445</v>
      </c>
    </row>
    <row r="92" spans="1:3" x14ac:dyDescent="0.15">
      <c r="A92">
        <v>68</v>
      </c>
      <c r="B92">
        <v>482398613.97322208</v>
      </c>
      <c r="C92">
        <v>-166398613.97322208</v>
      </c>
    </row>
    <row r="93" spans="1:3" x14ac:dyDescent="0.15">
      <c r="A93">
        <v>69</v>
      </c>
      <c r="B93">
        <v>224193057.27894604</v>
      </c>
      <c r="C93">
        <v>-132193057.27894604</v>
      </c>
    </row>
    <row r="94" spans="1:3" x14ac:dyDescent="0.15">
      <c r="A94">
        <v>70</v>
      </c>
      <c r="B94">
        <v>543319507.32423055</v>
      </c>
      <c r="C94">
        <v>-81319507.324230552</v>
      </c>
    </row>
    <row r="95" spans="1:3" x14ac:dyDescent="0.15">
      <c r="A95">
        <v>71</v>
      </c>
      <c r="B95">
        <v>611838146.54183519</v>
      </c>
      <c r="C95">
        <v>570161853.45816481</v>
      </c>
    </row>
    <row r="96" spans="1:3" x14ac:dyDescent="0.15">
      <c r="A96">
        <v>72</v>
      </c>
      <c r="B96">
        <v>939252847.93894494</v>
      </c>
      <c r="C96">
        <v>24747152.061055064</v>
      </c>
    </row>
    <row r="97" spans="1:3" x14ac:dyDescent="0.15">
      <c r="A97">
        <v>73</v>
      </c>
      <c r="B97">
        <v>605695576.92321682</v>
      </c>
      <c r="C97">
        <v>-273695576.92321682</v>
      </c>
    </row>
    <row r="98" spans="1:3" x14ac:dyDescent="0.15">
      <c r="A98">
        <v>74</v>
      </c>
      <c r="B98">
        <v>614903088.62886667</v>
      </c>
      <c r="C98">
        <v>807096911.37113333</v>
      </c>
    </row>
    <row r="99" spans="1:3" x14ac:dyDescent="0.15">
      <c r="A99">
        <v>75</v>
      </c>
      <c r="B99">
        <v>678311144.75688922</v>
      </c>
      <c r="C99">
        <v>897688855.24311078</v>
      </c>
    </row>
    <row r="100" spans="1:3" x14ac:dyDescent="0.15">
      <c r="A100">
        <v>76</v>
      </c>
      <c r="B100">
        <v>485646871.40507913</v>
      </c>
      <c r="C100">
        <v>52353128.594920874</v>
      </c>
    </row>
    <row r="101" spans="1:3" x14ac:dyDescent="0.15">
      <c r="A101">
        <v>77</v>
      </c>
      <c r="B101">
        <v>605695576.92321682</v>
      </c>
      <c r="C101">
        <v>-74695576.92321682</v>
      </c>
    </row>
    <row r="102" spans="1:3" x14ac:dyDescent="0.15">
      <c r="A102">
        <v>78</v>
      </c>
      <c r="B102">
        <v>488890397.21482545</v>
      </c>
      <c r="C102">
        <v>-151890397.21482545</v>
      </c>
    </row>
    <row r="103" spans="1:3" x14ac:dyDescent="0.15">
      <c r="A103">
        <v>79</v>
      </c>
      <c r="B103">
        <v>530631837.2432555</v>
      </c>
      <c r="C103">
        <v>296368162.7567445</v>
      </c>
    </row>
    <row r="104" spans="1:3" ht="14" thickBot="1" x14ac:dyDescent="0.2">
      <c r="A104" s="13">
        <v>80</v>
      </c>
      <c r="B104" s="13">
        <v>841836969.5262717</v>
      </c>
      <c r="C104" s="13">
        <v>-615836969.5262717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A051-BA26-0647-82FD-B17CEB4C94FE}">
  <dimension ref="A1:I18"/>
  <sheetViews>
    <sheetView workbookViewId="0">
      <selection activeCell="K21" sqref="K21"/>
    </sheetView>
  </sheetViews>
  <sheetFormatPr baseColWidth="10" defaultRowHeight="13" x14ac:dyDescent="0.15"/>
  <sheetData>
    <row r="1" spans="1:9" x14ac:dyDescent="0.15">
      <c r="A1" t="s">
        <v>6</v>
      </c>
    </row>
    <row r="2" spans="1:9" ht="14" thickBot="1" x14ac:dyDescent="0.2"/>
    <row r="3" spans="1:9" x14ac:dyDescent="0.15">
      <c r="A3" s="15" t="s">
        <v>7</v>
      </c>
      <c r="B3" s="15"/>
    </row>
    <row r="4" spans="1:9" x14ac:dyDescent="0.15">
      <c r="A4" t="s">
        <v>8</v>
      </c>
      <c r="B4">
        <v>0.5743488814245582</v>
      </c>
    </row>
    <row r="5" spans="1:9" x14ac:dyDescent="0.15">
      <c r="A5" t="s">
        <v>9</v>
      </c>
      <c r="B5">
        <v>0.32987663759364128</v>
      </c>
    </row>
    <row r="6" spans="1:9" x14ac:dyDescent="0.15">
      <c r="A6" t="s">
        <v>10</v>
      </c>
      <c r="B6">
        <v>0.32128531243458536</v>
      </c>
    </row>
    <row r="7" spans="1:9" x14ac:dyDescent="0.15">
      <c r="A7" t="s">
        <v>11</v>
      </c>
      <c r="B7">
        <v>367604781.6529212</v>
      </c>
    </row>
    <row r="8" spans="1:9" ht="14" thickBot="1" x14ac:dyDescent="0.2">
      <c r="A8" s="13" t="s">
        <v>12</v>
      </c>
      <c r="B8" s="13">
        <v>80</v>
      </c>
    </row>
    <row r="10" spans="1:9" ht="14" thickBot="1" x14ac:dyDescent="0.2">
      <c r="A10" t="s">
        <v>13</v>
      </c>
    </row>
    <row r="11" spans="1:9" x14ac:dyDescent="0.15">
      <c r="A11" s="14"/>
      <c r="B11" s="14" t="s">
        <v>18</v>
      </c>
      <c r="C11" s="14" t="s">
        <v>19</v>
      </c>
      <c r="D11" s="14" t="s">
        <v>20</v>
      </c>
      <c r="E11" s="14" t="s">
        <v>21</v>
      </c>
      <c r="F11" s="14" t="s">
        <v>22</v>
      </c>
    </row>
    <row r="12" spans="1:9" x14ac:dyDescent="0.15">
      <c r="A12" t="s">
        <v>14</v>
      </c>
      <c r="B12">
        <v>1</v>
      </c>
      <c r="C12">
        <v>5.1886419989608366E+18</v>
      </c>
      <c r="D12">
        <v>5.1886419989608366E+18</v>
      </c>
      <c r="E12">
        <v>38.39647917945782</v>
      </c>
      <c r="F12">
        <v>2.5406381731879462E-8</v>
      </c>
    </row>
    <row r="13" spans="1:9" x14ac:dyDescent="0.15">
      <c r="A13" t="s">
        <v>15</v>
      </c>
      <c r="B13">
        <v>78</v>
      </c>
      <c r="C13">
        <v>1.0540395488539167E+19</v>
      </c>
      <c r="D13">
        <v>1.3513327549409189E+17</v>
      </c>
    </row>
    <row r="14" spans="1:9" ht="14" thickBot="1" x14ac:dyDescent="0.2">
      <c r="A14" s="13" t="s">
        <v>16</v>
      </c>
      <c r="B14" s="13">
        <v>79</v>
      </c>
      <c r="C14" s="13">
        <v>1.5729037487500003E+19</v>
      </c>
      <c r="D14" s="13"/>
      <c r="E14" s="13"/>
      <c r="F14" s="13"/>
    </row>
    <row r="15" spans="1:9" ht="14" thickBot="1" x14ac:dyDescent="0.2"/>
    <row r="16" spans="1:9" x14ac:dyDescent="0.15">
      <c r="A16" s="14"/>
      <c r="B16" s="14" t="s">
        <v>23</v>
      </c>
      <c r="C16" s="14" t="s">
        <v>11</v>
      </c>
      <c r="D16" s="14" t="s">
        <v>24</v>
      </c>
      <c r="E16" s="14" t="s">
        <v>25</v>
      </c>
      <c r="F16" s="14" t="s">
        <v>26</v>
      </c>
      <c r="G16" s="14" t="s">
        <v>27</v>
      </c>
      <c r="H16" s="14" t="s">
        <v>38</v>
      </c>
      <c r="I16" s="14" t="s">
        <v>39</v>
      </c>
    </row>
    <row r="17" spans="1:9" x14ac:dyDescent="0.15">
      <c r="A17" t="s">
        <v>17</v>
      </c>
      <c r="B17">
        <v>-24310768905.890331</v>
      </c>
      <c r="C17">
        <v>4009195489.4954352</v>
      </c>
      <c r="D17">
        <v>-6.063752433521242</v>
      </c>
      <c r="E17">
        <v>4.4599977192231221E-8</v>
      </c>
      <c r="F17">
        <v>-32292463994.445374</v>
      </c>
      <c r="G17">
        <v>-16329073817.335287</v>
      </c>
      <c r="H17">
        <v>-30984574522.349182</v>
      </c>
      <c r="I17">
        <v>-17636963289.43148</v>
      </c>
    </row>
    <row r="18" spans="1:9" ht="14" thickBot="1" x14ac:dyDescent="0.2">
      <c r="A18" s="13" t="s">
        <v>3</v>
      </c>
      <c r="B18" s="13">
        <v>2226680074.6633625</v>
      </c>
      <c r="C18" s="13">
        <v>359345426.15325648</v>
      </c>
      <c r="D18" s="13">
        <v>6.1964892624338299</v>
      </c>
      <c r="E18" s="13">
        <v>2.5406381731880153E-8</v>
      </c>
      <c r="F18" s="13">
        <v>1511278286.3152635</v>
      </c>
      <c r="G18" s="13">
        <v>2942081863.0114613</v>
      </c>
      <c r="H18" s="13">
        <v>1628504822.3979208</v>
      </c>
      <c r="I18" s="13">
        <v>2824855326.9288039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81263-1F7F-A04F-8CDB-58C009279B40}">
  <dimension ref="A1:I20"/>
  <sheetViews>
    <sheetView workbookViewId="0">
      <selection activeCell="I37" sqref="I37"/>
    </sheetView>
  </sheetViews>
  <sheetFormatPr baseColWidth="10" defaultRowHeight="13" x14ac:dyDescent="0.15"/>
  <sheetData>
    <row r="1" spans="1:9" x14ac:dyDescent="0.15">
      <c r="A1" s="35" t="s">
        <v>6</v>
      </c>
      <c r="B1" s="35"/>
      <c r="C1" s="35"/>
      <c r="D1" s="35"/>
      <c r="E1" s="35"/>
      <c r="F1" s="35"/>
      <c r="G1" s="35"/>
    </row>
    <row r="2" spans="1:9" ht="14" thickBot="1" x14ac:dyDescent="0.2">
      <c r="A2" s="35"/>
      <c r="B2" s="35"/>
      <c r="C2" s="35"/>
      <c r="D2" s="35"/>
      <c r="E2" s="35"/>
      <c r="F2" s="35"/>
      <c r="G2" s="35"/>
    </row>
    <row r="3" spans="1:9" x14ac:dyDescent="0.15">
      <c r="A3" s="36" t="s">
        <v>7</v>
      </c>
      <c r="B3" s="36"/>
      <c r="C3" s="35"/>
      <c r="D3" s="35"/>
      <c r="E3" s="35"/>
      <c r="F3" s="35"/>
      <c r="G3" s="35"/>
    </row>
    <row r="4" spans="1:9" x14ac:dyDescent="0.15">
      <c r="A4" s="46" t="s">
        <v>8</v>
      </c>
      <c r="B4" s="46">
        <v>0.58174642062989756</v>
      </c>
      <c r="C4" s="35"/>
      <c r="D4" s="35"/>
      <c r="E4" s="35" t="s">
        <v>57</v>
      </c>
      <c r="F4" s="35"/>
      <c r="G4" s="35"/>
    </row>
    <row r="5" spans="1:9" x14ac:dyDescent="0.15">
      <c r="A5" s="46" t="s">
        <v>9</v>
      </c>
      <c r="B5" s="46">
        <v>0.33842889791569775</v>
      </c>
      <c r="C5" s="35"/>
      <c r="D5" s="35"/>
      <c r="E5" s="35" t="s">
        <v>58</v>
      </c>
      <c r="F5" s="35"/>
      <c r="G5" s="35"/>
    </row>
    <row r="6" spans="1:9" x14ac:dyDescent="0.15">
      <c r="A6" s="46" t="s">
        <v>10</v>
      </c>
      <c r="B6" s="46">
        <v>0.32994721711974517</v>
      </c>
      <c r="C6" s="35"/>
      <c r="D6" s="35"/>
      <c r="E6" s="35"/>
      <c r="F6" s="35"/>
      <c r="G6" s="35"/>
    </row>
    <row r="7" spans="1:9" x14ac:dyDescent="0.15">
      <c r="A7" s="46" t="s">
        <v>11</v>
      </c>
      <c r="B7" s="46">
        <v>365.25152319538262</v>
      </c>
      <c r="C7" s="35"/>
      <c r="D7" s="35"/>
      <c r="E7" s="35"/>
      <c r="F7" s="35"/>
      <c r="G7" s="35"/>
    </row>
    <row r="8" spans="1:9" ht="14" thickBot="1" x14ac:dyDescent="0.2">
      <c r="A8" s="47" t="s">
        <v>12</v>
      </c>
      <c r="B8" s="47">
        <v>80</v>
      </c>
      <c r="C8" s="35"/>
      <c r="D8" s="35"/>
      <c r="E8" s="35"/>
      <c r="F8" s="35"/>
      <c r="G8" s="35"/>
    </row>
    <row r="9" spans="1:9" x14ac:dyDescent="0.15">
      <c r="A9" s="35"/>
      <c r="B9" s="35"/>
      <c r="C9" s="35"/>
      <c r="D9" s="35"/>
      <c r="E9" s="35"/>
      <c r="F9" s="35"/>
      <c r="G9" s="35"/>
    </row>
    <row r="10" spans="1:9" ht="14" thickBot="1" x14ac:dyDescent="0.2">
      <c r="A10" s="35" t="s">
        <v>13</v>
      </c>
      <c r="B10" s="35"/>
      <c r="C10" s="35"/>
      <c r="D10" s="35"/>
      <c r="E10" s="35"/>
      <c r="F10" s="35"/>
      <c r="G10" s="35"/>
    </row>
    <row r="11" spans="1:9" x14ac:dyDescent="0.15">
      <c r="A11" s="38"/>
      <c r="B11" s="38" t="s">
        <v>18</v>
      </c>
      <c r="C11" s="38" t="s">
        <v>19</v>
      </c>
      <c r="D11" s="38" t="s">
        <v>20</v>
      </c>
      <c r="E11" s="38" t="s">
        <v>21</v>
      </c>
      <c r="F11" s="38" t="s">
        <v>22</v>
      </c>
      <c r="G11" s="35"/>
    </row>
    <row r="12" spans="1:9" x14ac:dyDescent="0.15">
      <c r="A12" s="46" t="s">
        <v>14</v>
      </c>
      <c r="B12" s="46">
        <v>1</v>
      </c>
      <c r="C12" s="46">
        <v>5323160.8221693188</v>
      </c>
      <c r="D12" s="46">
        <v>5323160.8221693188</v>
      </c>
      <c r="E12" s="46">
        <v>39.90115945853492</v>
      </c>
      <c r="F12" s="46">
        <v>1.5212711928435787E-8</v>
      </c>
      <c r="G12" s="35"/>
    </row>
    <row r="13" spans="1:9" x14ac:dyDescent="0.15">
      <c r="A13" s="46" t="s">
        <v>15</v>
      </c>
      <c r="B13" s="46">
        <v>78</v>
      </c>
      <c r="C13" s="46">
        <v>10405876.665330676</v>
      </c>
      <c r="D13" s="46">
        <v>133408.67519654712</v>
      </c>
      <c r="E13" s="46"/>
      <c r="F13" s="46"/>
      <c r="G13" s="35"/>
    </row>
    <row r="14" spans="1:9" ht="14" thickBot="1" x14ac:dyDescent="0.2">
      <c r="A14" s="47" t="s">
        <v>16</v>
      </c>
      <c r="B14" s="47">
        <v>79</v>
      </c>
      <c r="C14" s="47">
        <v>15729037.487499995</v>
      </c>
      <c r="D14" s="47"/>
      <c r="E14" s="47"/>
      <c r="F14" s="47"/>
      <c r="G14" s="35"/>
    </row>
    <row r="15" spans="1:9" ht="14" thickBot="1" x14ac:dyDescent="0.2">
      <c r="A15" s="35"/>
      <c r="B15" s="35"/>
      <c r="C15" s="35"/>
      <c r="D15" s="35"/>
      <c r="E15" s="35"/>
      <c r="F15" s="35"/>
      <c r="G15" s="35"/>
    </row>
    <row r="16" spans="1:9" x14ac:dyDescent="0.15">
      <c r="A16" s="38"/>
      <c r="B16" s="38" t="s">
        <v>23</v>
      </c>
      <c r="C16" s="38" t="s">
        <v>11</v>
      </c>
      <c r="D16" s="38" t="s">
        <v>24</v>
      </c>
      <c r="E16" s="38" t="s">
        <v>25</v>
      </c>
      <c r="F16" s="38" t="s">
        <v>26</v>
      </c>
      <c r="G16" s="38" t="s">
        <v>27</v>
      </c>
      <c r="H16" s="45" t="s">
        <v>38</v>
      </c>
      <c r="I16" s="45" t="s">
        <v>39</v>
      </c>
    </row>
    <row r="17" spans="1:9" x14ac:dyDescent="0.15">
      <c r="A17" s="46" t="s">
        <v>17</v>
      </c>
      <c r="B17" s="46">
        <v>-1741.5693315204305</v>
      </c>
      <c r="C17" s="46">
        <v>362.05809467268506</v>
      </c>
      <c r="D17" s="46">
        <v>-4.810193052291452</v>
      </c>
      <c r="E17" s="46">
        <v>7.2129240299752092E-6</v>
      </c>
      <c r="F17" s="46">
        <v>-2462.3716280390918</v>
      </c>
      <c r="G17" s="46">
        <v>-1020.7670350017694</v>
      </c>
      <c r="H17" s="43">
        <v>-2344.2601586556902</v>
      </c>
      <c r="I17" s="43">
        <v>-1138.8785043851708</v>
      </c>
    </row>
    <row r="18" spans="1:9" ht="14" thickBot="1" x14ac:dyDescent="0.2">
      <c r="A18" s="47" t="s">
        <v>3</v>
      </c>
      <c r="B18" s="47">
        <v>32.249657895306896</v>
      </c>
      <c r="C18" s="47">
        <v>5.1054303307315827</v>
      </c>
      <c r="D18" s="47">
        <v>6.3167364563146791</v>
      </c>
      <c r="E18" s="47">
        <v>1.5212711928435787E-8</v>
      </c>
      <c r="F18" s="47">
        <v>22.085526886347619</v>
      </c>
      <c r="G18" s="47">
        <v>42.413788904266177</v>
      </c>
      <c r="H18" s="44">
        <v>23.751032745959559</v>
      </c>
      <c r="I18" s="44">
        <v>40.748283044654229</v>
      </c>
    </row>
    <row r="19" spans="1:9" x14ac:dyDescent="0.15">
      <c r="A19" s="35"/>
      <c r="B19" s="35"/>
      <c r="C19" s="35"/>
      <c r="D19" s="35"/>
      <c r="E19" s="35"/>
      <c r="F19" s="35"/>
      <c r="G19" s="35"/>
    </row>
    <row r="20" spans="1:9" x14ac:dyDescent="0.15">
      <c r="A20" s="35"/>
      <c r="B20" s="35"/>
      <c r="C20" s="35"/>
      <c r="D20" s="35"/>
      <c r="E20" s="35"/>
      <c r="F20" s="35"/>
      <c r="G20" s="3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5EC1B-BC4A-2E40-8C27-D5856EBDA8CE}">
  <dimension ref="A1:I20"/>
  <sheetViews>
    <sheetView workbookViewId="0">
      <selection activeCell="A20" sqref="A1:G20"/>
    </sheetView>
  </sheetViews>
  <sheetFormatPr baseColWidth="10" defaultRowHeight="13" x14ac:dyDescent="0.15"/>
  <sheetData>
    <row r="1" spans="1:9" x14ac:dyDescent="0.15">
      <c r="A1" s="21" t="s">
        <v>6</v>
      </c>
      <c r="B1" s="21"/>
      <c r="C1" s="21"/>
      <c r="D1" s="21"/>
      <c r="E1" s="21"/>
      <c r="F1" s="21"/>
      <c r="G1" s="21"/>
      <c r="H1" s="21"/>
      <c r="I1" s="21"/>
    </row>
    <row r="2" spans="1:9" ht="14" thickBot="1" x14ac:dyDescent="0.2">
      <c r="A2" s="21"/>
      <c r="B2" s="21"/>
      <c r="C2" s="21"/>
      <c r="D2" s="21"/>
      <c r="E2" s="21"/>
      <c r="F2" s="21"/>
      <c r="G2" s="21"/>
      <c r="H2" s="21"/>
      <c r="I2" s="21"/>
    </row>
    <row r="3" spans="1:9" x14ac:dyDescent="0.15">
      <c r="A3" s="22" t="s">
        <v>7</v>
      </c>
      <c r="B3" s="22"/>
      <c r="C3" s="21"/>
      <c r="D3" s="21"/>
      <c r="E3" s="21"/>
      <c r="F3" s="21"/>
      <c r="G3" s="21"/>
      <c r="H3" s="21"/>
      <c r="I3" s="21"/>
    </row>
    <row r="4" spans="1:9" x14ac:dyDescent="0.15">
      <c r="A4" s="48" t="s">
        <v>8</v>
      </c>
      <c r="B4" s="48">
        <v>0.58680436154948423</v>
      </c>
      <c r="C4" s="21"/>
      <c r="D4" s="21"/>
      <c r="E4" s="21"/>
      <c r="F4" s="21"/>
      <c r="G4" s="21"/>
      <c r="H4" s="21"/>
      <c r="I4" s="21"/>
    </row>
    <row r="5" spans="1:9" x14ac:dyDescent="0.15">
      <c r="A5" s="48" t="s">
        <v>9</v>
      </c>
      <c r="B5" s="48">
        <v>0.34433935873349786</v>
      </c>
      <c r="C5" s="21"/>
      <c r="D5" s="21" t="s">
        <v>59</v>
      </c>
      <c r="E5" s="21"/>
      <c r="F5" s="21"/>
      <c r="G5" s="21"/>
      <c r="H5" s="21"/>
      <c r="I5" s="21"/>
    </row>
    <row r="6" spans="1:9" x14ac:dyDescent="0.15">
      <c r="A6" s="48" t="s">
        <v>10</v>
      </c>
      <c r="B6" s="48">
        <v>0.33593345307623501</v>
      </c>
      <c r="C6" s="21"/>
      <c r="D6" s="21"/>
      <c r="E6" s="21"/>
      <c r="F6" s="21"/>
      <c r="G6" s="21"/>
      <c r="H6" s="21"/>
      <c r="I6" s="21"/>
    </row>
    <row r="7" spans="1:9" x14ac:dyDescent="0.15">
      <c r="A7" s="48" t="s">
        <v>11</v>
      </c>
      <c r="B7" s="48">
        <v>363.61628841331577</v>
      </c>
      <c r="C7" s="21"/>
      <c r="D7" s="21"/>
      <c r="E7" s="21"/>
      <c r="F7" s="21"/>
      <c r="G7" s="21"/>
      <c r="H7" s="21"/>
      <c r="I7" s="21"/>
    </row>
    <row r="8" spans="1:9" ht="14" thickBot="1" x14ac:dyDescent="0.2">
      <c r="A8" s="49" t="s">
        <v>12</v>
      </c>
      <c r="B8" s="49">
        <v>80</v>
      </c>
      <c r="C8" s="21"/>
      <c r="D8" s="21"/>
      <c r="E8" s="21"/>
      <c r="F8" s="21"/>
      <c r="G8" s="21"/>
      <c r="H8" s="21"/>
      <c r="I8" s="21"/>
    </row>
    <row r="9" spans="1:9" x14ac:dyDescent="0.15">
      <c r="A9" s="21"/>
      <c r="B9" s="21"/>
      <c r="C9" s="21"/>
      <c r="D9" s="21"/>
      <c r="E9" s="21"/>
      <c r="F9" s="21"/>
      <c r="G9" s="21"/>
      <c r="H9" s="21"/>
      <c r="I9" s="21"/>
    </row>
    <row r="10" spans="1:9" ht="14" thickBot="1" x14ac:dyDescent="0.2">
      <c r="A10" s="21" t="s">
        <v>13</v>
      </c>
      <c r="B10" s="21"/>
      <c r="C10" s="21"/>
      <c r="D10" s="21"/>
      <c r="E10" s="21"/>
      <c r="F10" s="21"/>
      <c r="G10" s="21"/>
      <c r="H10" s="21"/>
      <c r="I10" s="21"/>
    </row>
    <row r="11" spans="1:9" x14ac:dyDescent="0.15">
      <c r="A11" s="24"/>
      <c r="B11" s="24" t="s">
        <v>18</v>
      </c>
      <c r="C11" s="24" t="s">
        <v>19</v>
      </c>
      <c r="D11" s="24" t="s">
        <v>20</v>
      </c>
      <c r="E11" s="24" t="s">
        <v>21</v>
      </c>
      <c r="F11" s="24" t="s">
        <v>22</v>
      </c>
      <c r="G11" s="21"/>
      <c r="H11" s="21"/>
      <c r="I11" s="21"/>
    </row>
    <row r="12" spans="1:9" x14ac:dyDescent="0.15">
      <c r="A12" s="48" t="s">
        <v>14</v>
      </c>
      <c r="B12" s="48">
        <v>1</v>
      </c>
      <c r="C12" s="48">
        <v>5416126.6819408964</v>
      </c>
      <c r="D12" s="48">
        <v>5416126.6819408964</v>
      </c>
      <c r="E12" s="48">
        <v>40.963980893121565</v>
      </c>
      <c r="F12" s="48">
        <v>1.0633973193962056E-8</v>
      </c>
      <c r="G12" s="21"/>
      <c r="H12" s="21"/>
      <c r="I12" s="21"/>
    </row>
    <row r="13" spans="1:9" x14ac:dyDescent="0.15">
      <c r="A13" s="48" t="s">
        <v>15</v>
      </c>
      <c r="B13" s="48">
        <v>78</v>
      </c>
      <c r="C13" s="48">
        <v>10312910.805559099</v>
      </c>
      <c r="D13" s="48">
        <v>132216.80519947564</v>
      </c>
      <c r="E13" s="48"/>
      <c r="F13" s="48"/>
      <c r="G13" s="21"/>
      <c r="H13" s="21"/>
      <c r="I13" s="21"/>
    </row>
    <row r="14" spans="1:9" ht="14" thickBot="1" x14ac:dyDescent="0.2">
      <c r="A14" s="49" t="s">
        <v>16</v>
      </c>
      <c r="B14" s="49">
        <v>79</v>
      </c>
      <c r="C14" s="49">
        <v>15729037.487499995</v>
      </c>
      <c r="D14" s="49"/>
      <c r="E14" s="49"/>
      <c r="F14" s="49"/>
      <c r="G14" s="21"/>
      <c r="H14" s="21"/>
      <c r="I14" s="21"/>
    </row>
    <row r="15" spans="1:9" ht="14" thickBot="1" x14ac:dyDescent="0.2">
      <c r="A15" s="21"/>
      <c r="B15" s="21"/>
      <c r="C15" s="21"/>
      <c r="D15" s="21"/>
      <c r="E15" s="21"/>
      <c r="F15" s="21"/>
      <c r="G15" s="21"/>
      <c r="H15" s="21"/>
      <c r="I15" s="21"/>
    </row>
    <row r="16" spans="1:9" x14ac:dyDescent="0.15">
      <c r="A16" s="24"/>
      <c r="B16" s="24" t="s">
        <v>23</v>
      </c>
      <c r="C16" s="24" t="s">
        <v>11</v>
      </c>
      <c r="D16" s="24" t="s">
        <v>24</v>
      </c>
      <c r="E16" s="24" t="s">
        <v>25</v>
      </c>
      <c r="F16" s="24" t="s">
        <v>26</v>
      </c>
      <c r="G16" s="24" t="s">
        <v>27</v>
      </c>
      <c r="H16" s="24" t="s">
        <v>38</v>
      </c>
      <c r="I16" s="24" t="s">
        <v>39</v>
      </c>
    </row>
    <row r="17" spans="1:9" x14ac:dyDescent="0.15">
      <c r="A17" s="48" t="s">
        <v>17</v>
      </c>
      <c r="B17" s="48">
        <v>-621.71813424480138</v>
      </c>
      <c r="C17" s="48">
        <v>184.6137241775543</v>
      </c>
      <c r="D17" s="48">
        <v>-3.3676701827804365</v>
      </c>
      <c r="E17" s="48">
        <v>1.1796701222367397E-3</v>
      </c>
      <c r="F17" s="48">
        <v>-989.25582588609552</v>
      </c>
      <c r="G17" s="48">
        <v>-254.1804426035072</v>
      </c>
      <c r="H17" s="48">
        <v>-929.03068922490445</v>
      </c>
      <c r="I17" s="48">
        <v>-314.4055792646983</v>
      </c>
    </row>
    <row r="18" spans="1:9" ht="14" thickBot="1" x14ac:dyDescent="0.2">
      <c r="A18" s="49" t="s">
        <v>46</v>
      </c>
      <c r="B18" s="49">
        <v>0.22918147136187414</v>
      </c>
      <c r="C18" s="49">
        <v>3.5807864863432876E-2</v>
      </c>
      <c r="D18" s="49">
        <v>6.400310999718811</v>
      </c>
      <c r="E18" s="49">
        <v>1.06339731939619E-8</v>
      </c>
      <c r="F18" s="49">
        <v>0.15789348855810362</v>
      </c>
      <c r="G18" s="49">
        <v>0.30046945416564463</v>
      </c>
      <c r="H18" s="49">
        <v>0.16957481704304139</v>
      </c>
      <c r="I18" s="49">
        <v>0.28878812568070689</v>
      </c>
    </row>
    <row r="19" spans="1:9" x14ac:dyDescent="0.15">
      <c r="A19" s="21"/>
      <c r="B19" s="21"/>
      <c r="C19" s="21"/>
      <c r="D19" s="21"/>
      <c r="E19" s="21"/>
      <c r="F19" s="21"/>
      <c r="G19" s="21"/>
      <c r="H19" s="21"/>
      <c r="I19" s="21"/>
    </row>
    <row r="20" spans="1:9" x14ac:dyDescent="0.15">
      <c r="A20" s="21"/>
      <c r="B20" s="21"/>
      <c r="C20" s="21"/>
      <c r="D20" s="21"/>
      <c r="E20" s="21"/>
      <c r="F20" s="21"/>
      <c r="G20" s="21"/>
      <c r="H20" s="21"/>
      <c r="I20" s="2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0FB9-3ACC-3740-B444-5959712CF6DA}">
  <dimension ref="A1:I22"/>
  <sheetViews>
    <sheetView workbookViewId="0">
      <selection activeCell="A21" sqref="A1:G21"/>
    </sheetView>
  </sheetViews>
  <sheetFormatPr baseColWidth="10" defaultRowHeight="13" x14ac:dyDescent="0.15"/>
  <sheetData>
    <row r="1" spans="1:9" x14ac:dyDescent="0.15">
      <c r="A1" s="21" t="s">
        <v>6</v>
      </c>
      <c r="B1" s="21"/>
      <c r="C1" s="21"/>
      <c r="D1" s="21"/>
      <c r="E1" s="21"/>
      <c r="F1" s="21"/>
      <c r="G1" s="21"/>
      <c r="H1" s="21"/>
      <c r="I1" s="21"/>
    </row>
    <row r="2" spans="1:9" ht="14" thickBot="1" x14ac:dyDescent="0.2">
      <c r="A2" s="21"/>
      <c r="B2" s="21"/>
      <c r="C2" s="21"/>
      <c r="D2" s="21"/>
      <c r="E2" s="21"/>
      <c r="F2" s="21"/>
      <c r="G2" s="21"/>
      <c r="H2" s="21"/>
      <c r="I2" s="21"/>
    </row>
    <row r="3" spans="1:9" x14ac:dyDescent="0.15">
      <c r="A3" s="22" t="s">
        <v>7</v>
      </c>
      <c r="B3" s="22"/>
      <c r="C3" s="21"/>
      <c r="D3" s="21"/>
      <c r="E3" s="21"/>
      <c r="F3" s="21"/>
      <c r="G3" s="21"/>
      <c r="H3" s="21"/>
      <c r="I3" s="21"/>
    </row>
    <row r="4" spans="1:9" x14ac:dyDescent="0.15">
      <c r="A4" s="48" t="s">
        <v>8</v>
      </c>
      <c r="B4" s="48">
        <v>0.58954056021846857</v>
      </c>
      <c r="C4" s="21"/>
      <c r="D4" s="21"/>
      <c r="E4" s="21"/>
      <c r="F4" s="21"/>
      <c r="G4" s="21"/>
      <c r="H4" s="21"/>
      <c r="I4" s="21"/>
    </row>
    <row r="5" spans="1:9" x14ac:dyDescent="0.15">
      <c r="A5" s="48" t="s">
        <v>9</v>
      </c>
      <c r="B5" s="48">
        <v>0.34755807214270573</v>
      </c>
      <c r="C5" s="21"/>
      <c r="D5" s="21" t="s">
        <v>60</v>
      </c>
      <c r="E5" s="21"/>
      <c r="F5" s="21"/>
      <c r="G5" s="21"/>
      <c r="H5" s="21"/>
      <c r="I5" s="21"/>
    </row>
    <row r="6" spans="1:9" x14ac:dyDescent="0.15">
      <c r="A6" s="48" t="s">
        <v>10</v>
      </c>
      <c r="B6" s="48">
        <v>0.33061152856199677</v>
      </c>
      <c r="C6" s="21"/>
      <c r="D6" s="21"/>
      <c r="E6" s="21"/>
      <c r="F6" s="21"/>
      <c r="G6" s="21"/>
      <c r="H6" s="21"/>
      <c r="I6" s="21"/>
    </row>
    <row r="7" spans="1:9" x14ac:dyDescent="0.15">
      <c r="A7" s="48" t="s">
        <v>11</v>
      </c>
      <c r="B7" s="48">
        <v>365.07041736117384</v>
      </c>
      <c r="C7" s="21"/>
      <c r="D7" s="21"/>
      <c r="E7" s="21"/>
      <c r="F7" s="21"/>
      <c r="G7" s="21"/>
      <c r="H7" s="21"/>
      <c r="I7" s="21"/>
    </row>
    <row r="8" spans="1:9" ht="14" thickBot="1" x14ac:dyDescent="0.2">
      <c r="A8" s="49" t="s">
        <v>12</v>
      </c>
      <c r="B8" s="49">
        <v>80</v>
      </c>
      <c r="C8" s="21"/>
      <c r="D8" s="21"/>
      <c r="E8" s="21"/>
      <c r="F8" s="21"/>
      <c r="G8" s="21"/>
      <c r="H8" s="21"/>
      <c r="I8" s="21"/>
    </row>
    <row r="9" spans="1:9" x14ac:dyDescent="0.15">
      <c r="A9" s="21"/>
      <c r="B9" s="21"/>
      <c r="C9" s="21"/>
      <c r="D9" s="21"/>
      <c r="E9" s="21"/>
      <c r="F9" s="21"/>
      <c r="G9" s="21"/>
      <c r="H9" s="21"/>
      <c r="I9" s="21"/>
    </row>
    <row r="10" spans="1:9" ht="14" thickBot="1" x14ac:dyDescent="0.2">
      <c r="A10" s="21" t="s">
        <v>13</v>
      </c>
      <c r="B10" s="21"/>
      <c r="C10" s="21"/>
      <c r="D10" s="21"/>
      <c r="E10" s="21"/>
      <c r="F10" s="21"/>
      <c r="G10" s="21"/>
      <c r="H10" s="21"/>
      <c r="I10" s="21"/>
    </row>
    <row r="11" spans="1:9" x14ac:dyDescent="0.15">
      <c r="A11" s="24"/>
      <c r="B11" s="24" t="s">
        <v>18</v>
      </c>
      <c r="C11" s="24" t="s">
        <v>19</v>
      </c>
      <c r="D11" s="24" t="s">
        <v>20</v>
      </c>
      <c r="E11" s="24" t="s">
        <v>21</v>
      </c>
      <c r="F11" s="24" t="s">
        <v>22</v>
      </c>
      <c r="G11" s="21"/>
      <c r="H11" s="21"/>
      <c r="I11" s="21"/>
    </row>
    <row r="12" spans="1:9" x14ac:dyDescent="0.15">
      <c r="A12" s="48" t="s">
        <v>14</v>
      </c>
      <c r="B12" s="48">
        <v>2</v>
      </c>
      <c r="C12" s="48">
        <v>5466753.9458158463</v>
      </c>
      <c r="D12" s="48">
        <v>2733376.9729079232</v>
      </c>
      <c r="E12" s="48">
        <v>20.509083193716723</v>
      </c>
      <c r="F12" s="48">
        <v>7.2420530078001384E-8</v>
      </c>
      <c r="G12" s="21"/>
      <c r="H12" s="21"/>
      <c r="I12" s="21"/>
    </row>
    <row r="13" spans="1:9" x14ac:dyDescent="0.15">
      <c r="A13" s="48" t="s">
        <v>15</v>
      </c>
      <c r="B13" s="48">
        <v>77</v>
      </c>
      <c r="C13" s="48">
        <v>10262283.541684149</v>
      </c>
      <c r="D13" s="48">
        <v>133276.40963226167</v>
      </c>
      <c r="E13" s="48"/>
      <c r="F13" s="48"/>
      <c r="G13" s="21"/>
      <c r="H13" s="21"/>
      <c r="I13" s="21"/>
    </row>
    <row r="14" spans="1:9" ht="14" thickBot="1" x14ac:dyDescent="0.2">
      <c r="A14" s="49" t="s">
        <v>16</v>
      </c>
      <c r="B14" s="49">
        <v>79</v>
      </c>
      <c r="C14" s="49">
        <v>15729037.487499995</v>
      </c>
      <c r="D14" s="49"/>
      <c r="E14" s="49"/>
      <c r="F14" s="49"/>
      <c r="G14" s="21"/>
      <c r="H14" s="21"/>
      <c r="I14" s="21"/>
    </row>
    <row r="15" spans="1:9" ht="14" thickBot="1" x14ac:dyDescent="0.2">
      <c r="A15" s="21"/>
      <c r="B15" s="21"/>
      <c r="C15" s="21"/>
      <c r="D15" s="21"/>
      <c r="E15" s="21"/>
      <c r="F15" s="21"/>
      <c r="G15" s="21"/>
      <c r="H15" s="21"/>
      <c r="I15" s="21"/>
    </row>
    <row r="16" spans="1:9" x14ac:dyDescent="0.15">
      <c r="A16" s="24"/>
      <c r="B16" s="24" t="s">
        <v>23</v>
      </c>
      <c r="C16" s="24" t="s">
        <v>11</v>
      </c>
      <c r="D16" s="24" t="s">
        <v>24</v>
      </c>
      <c r="E16" s="24" t="s">
        <v>25</v>
      </c>
      <c r="F16" s="24" t="s">
        <v>26</v>
      </c>
      <c r="G16" s="24" t="s">
        <v>27</v>
      </c>
      <c r="H16" s="24" t="s">
        <v>38</v>
      </c>
      <c r="I16" s="24" t="s">
        <v>39</v>
      </c>
    </row>
    <row r="17" spans="1:9" x14ac:dyDescent="0.15">
      <c r="A17" s="48" t="s">
        <v>17</v>
      </c>
      <c r="B17" s="48">
        <v>1042.4213579614016</v>
      </c>
      <c r="C17" s="48">
        <v>2706.4189890407906</v>
      </c>
      <c r="D17" s="48">
        <v>0.38516628880543607</v>
      </c>
      <c r="E17" s="48">
        <v>0.70117613948552815</v>
      </c>
      <c r="F17" s="48">
        <v>-4346.7473497286619</v>
      </c>
      <c r="G17" s="48">
        <v>6431.590065651465</v>
      </c>
      <c r="H17" s="48">
        <v>-3463.4537682346031</v>
      </c>
      <c r="I17" s="48">
        <v>5548.2964841574067</v>
      </c>
    </row>
    <row r="18" spans="1:9" x14ac:dyDescent="0.15">
      <c r="A18" s="48" t="s">
        <v>3</v>
      </c>
      <c r="B18" s="48">
        <v>-47.397094049522735</v>
      </c>
      <c r="C18" s="48">
        <v>76.901733470648864</v>
      </c>
      <c r="D18" s="48">
        <v>-0.6163332334714251</v>
      </c>
      <c r="E18" s="48">
        <v>0.53949249824433942</v>
      </c>
      <c r="F18" s="48">
        <v>-200.52800883593835</v>
      </c>
      <c r="G18" s="48">
        <v>105.73382073689288</v>
      </c>
      <c r="H18" s="48">
        <v>-175.42960099315803</v>
      </c>
      <c r="I18" s="48">
        <v>80.635412894112577</v>
      </c>
    </row>
    <row r="19" spans="1:9" ht="14" thickBot="1" x14ac:dyDescent="0.2">
      <c r="A19" s="49" t="s">
        <v>46</v>
      </c>
      <c r="B19" s="49">
        <v>0.56236862968153356</v>
      </c>
      <c r="C19" s="49">
        <v>0.54178990347803369</v>
      </c>
      <c r="D19" s="49">
        <v>1.0379828528944417</v>
      </c>
      <c r="E19" s="49">
        <v>0.30252664057232098</v>
      </c>
      <c r="F19" s="49">
        <v>-0.51647289699614973</v>
      </c>
      <c r="G19" s="49">
        <v>1.641210156359217</v>
      </c>
      <c r="H19" s="49">
        <v>-0.33964900306166196</v>
      </c>
      <c r="I19" s="49">
        <v>1.464386262424729</v>
      </c>
    </row>
    <row r="20" spans="1:9" x14ac:dyDescent="0.15">
      <c r="A20" s="21"/>
      <c r="B20" s="21"/>
      <c r="C20" s="21"/>
      <c r="D20" s="21"/>
      <c r="E20" s="21"/>
      <c r="F20" s="21"/>
      <c r="G20" s="21"/>
      <c r="H20" s="21"/>
      <c r="I20" s="21"/>
    </row>
    <row r="21" spans="1:9" x14ac:dyDescent="0.15">
      <c r="A21" s="21"/>
      <c r="B21" s="21"/>
      <c r="C21" s="21"/>
      <c r="D21" s="21"/>
      <c r="E21" s="21"/>
      <c r="F21" s="21"/>
      <c r="G21" s="21"/>
      <c r="H21" s="21"/>
      <c r="I21" s="21"/>
    </row>
    <row r="22" spans="1:9" x14ac:dyDescent="0.15">
      <c r="A22" s="21"/>
      <c r="B22" s="21"/>
      <c r="C22" s="21"/>
      <c r="D22" s="21"/>
      <c r="E22" s="21"/>
      <c r="F22" s="21"/>
      <c r="G22" s="21"/>
      <c r="H22" s="21"/>
      <c r="I22" s="2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1F64-9ACE-EA4E-B419-A4ED2F34F894}">
  <dimension ref="A1:I21"/>
  <sheetViews>
    <sheetView tabSelected="1" workbookViewId="0">
      <selection activeCell="J37" sqref="J37"/>
    </sheetView>
  </sheetViews>
  <sheetFormatPr baseColWidth="10" defaultRowHeight="13" x14ac:dyDescent="0.15"/>
  <sheetData>
    <row r="1" spans="1:9" x14ac:dyDescent="0.15">
      <c r="A1" s="21" t="s">
        <v>6</v>
      </c>
      <c r="B1" s="21"/>
      <c r="C1" s="21"/>
      <c r="D1" s="21"/>
      <c r="E1" s="21"/>
      <c r="F1" s="21"/>
      <c r="G1" s="21"/>
      <c r="H1" s="21"/>
      <c r="I1" s="21"/>
    </row>
    <row r="2" spans="1:9" ht="14" thickBot="1" x14ac:dyDescent="0.2">
      <c r="A2" s="21"/>
      <c r="B2" s="21"/>
      <c r="C2" s="21"/>
      <c r="D2" s="21"/>
      <c r="E2" s="21"/>
      <c r="F2" s="21"/>
      <c r="G2" s="21"/>
      <c r="H2" s="21"/>
      <c r="I2" s="21"/>
    </row>
    <row r="3" spans="1:9" x14ac:dyDescent="0.15">
      <c r="A3" s="22" t="s">
        <v>7</v>
      </c>
      <c r="B3" s="22"/>
      <c r="C3" s="21"/>
      <c r="D3" s="21"/>
      <c r="E3" s="21"/>
      <c r="F3" s="21"/>
      <c r="G3" s="21"/>
      <c r="H3" s="21"/>
      <c r="I3" s="21"/>
    </row>
    <row r="4" spans="1:9" x14ac:dyDescent="0.15">
      <c r="A4" s="48" t="s">
        <v>8</v>
      </c>
      <c r="B4" s="48">
        <v>0.57434888142455742</v>
      </c>
      <c r="C4" s="21"/>
      <c r="D4" s="21"/>
      <c r="E4" s="21"/>
      <c r="F4" s="21"/>
      <c r="G4" s="21"/>
      <c r="H4" s="21"/>
      <c r="I4" s="21"/>
    </row>
    <row r="5" spans="1:9" x14ac:dyDescent="0.15">
      <c r="A5" s="48" t="s">
        <v>9</v>
      </c>
      <c r="B5" s="48">
        <v>0.32987663759364033</v>
      </c>
      <c r="C5" s="21"/>
      <c r="D5" s="21"/>
      <c r="E5" s="21"/>
      <c r="F5" s="21"/>
      <c r="G5" s="21"/>
      <c r="H5" s="21"/>
      <c r="I5" s="21"/>
    </row>
    <row r="6" spans="1:9" x14ac:dyDescent="0.15">
      <c r="A6" s="48" t="s">
        <v>10</v>
      </c>
      <c r="B6" s="48">
        <v>0.32128531243458441</v>
      </c>
      <c r="C6" s="21"/>
      <c r="D6" s="21"/>
      <c r="E6" s="21"/>
      <c r="F6" s="21"/>
      <c r="G6" s="21"/>
      <c r="H6" s="21"/>
      <c r="I6" s="21"/>
    </row>
    <row r="7" spans="1:9" x14ac:dyDescent="0.15">
      <c r="A7" s="48" t="s">
        <v>11</v>
      </c>
      <c r="B7" s="48">
        <v>367.60478165292136</v>
      </c>
      <c r="C7" s="21"/>
      <c r="D7" s="21"/>
      <c r="E7" s="21"/>
      <c r="F7" s="21"/>
      <c r="G7" s="21"/>
      <c r="H7" s="21"/>
      <c r="I7" s="21"/>
    </row>
    <row r="8" spans="1:9" ht="14" thickBot="1" x14ac:dyDescent="0.2">
      <c r="A8" s="49" t="s">
        <v>12</v>
      </c>
      <c r="B8" s="49">
        <v>80</v>
      </c>
      <c r="C8" s="21"/>
      <c r="D8" s="21"/>
      <c r="E8" s="21"/>
      <c r="F8" s="21"/>
      <c r="G8" s="21"/>
      <c r="H8" s="21"/>
      <c r="I8" s="21"/>
    </row>
    <row r="9" spans="1:9" x14ac:dyDescent="0.15">
      <c r="A9" s="21"/>
      <c r="B9" s="21"/>
      <c r="C9" s="21"/>
      <c r="D9" s="21"/>
      <c r="E9" s="21"/>
      <c r="F9" s="21"/>
      <c r="G9" s="21"/>
      <c r="H9" s="21"/>
      <c r="I9" s="21"/>
    </row>
    <row r="10" spans="1:9" ht="14" thickBot="1" x14ac:dyDescent="0.2">
      <c r="A10" s="21" t="s">
        <v>13</v>
      </c>
      <c r="B10" s="21"/>
      <c r="C10" s="21"/>
      <c r="D10" s="21"/>
      <c r="E10" s="21"/>
      <c r="F10" s="21"/>
      <c r="G10" s="21"/>
      <c r="H10" s="21"/>
      <c r="I10" s="21"/>
    </row>
    <row r="11" spans="1:9" x14ac:dyDescent="0.15">
      <c r="A11" s="24"/>
      <c r="B11" s="24" t="s">
        <v>18</v>
      </c>
      <c r="C11" s="24" t="s">
        <v>19</v>
      </c>
      <c r="D11" s="24" t="s">
        <v>20</v>
      </c>
      <c r="E11" s="24" t="s">
        <v>21</v>
      </c>
      <c r="F11" s="24" t="s">
        <v>22</v>
      </c>
      <c r="G11" s="21"/>
      <c r="H11" s="21"/>
      <c r="I11" s="21"/>
    </row>
    <row r="12" spans="1:9" x14ac:dyDescent="0.15">
      <c r="A12" s="48" t="s">
        <v>14</v>
      </c>
      <c r="B12" s="48">
        <v>1</v>
      </c>
      <c r="C12" s="48">
        <v>5188641.9989608191</v>
      </c>
      <c r="D12" s="48">
        <v>5188641.9989608191</v>
      </c>
      <c r="E12" s="48">
        <v>38.396479179457657</v>
      </c>
      <c r="F12" s="48">
        <v>2.5406381731880838E-8</v>
      </c>
      <c r="G12" s="21"/>
      <c r="H12" s="21"/>
      <c r="I12" s="21"/>
    </row>
    <row r="13" spans="1:9" x14ac:dyDescent="0.15">
      <c r="A13" s="48" t="s">
        <v>15</v>
      </c>
      <c r="B13" s="48">
        <v>78</v>
      </c>
      <c r="C13" s="48">
        <v>10540395.488539176</v>
      </c>
      <c r="D13" s="48">
        <v>135133.275494092</v>
      </c>
      <c r="E13" s="48"/>
      <c r="F13" s="48"/>
      <c r="G13" s="21"/>
      <c r="H13" s="21"/>
      <c r="I13" s="21"/>
    </row>
    <row r="14" spans="1:9" ht="14" thickBot="1" x14ac:dyDescent="0.2">
      <c r="A14" s="49" t="s">
        <v>16</v>
      </c>
      <c r="B14" s="49">
        <v>79</v>
      </c>
      <c r="C14" s="49">
        <v>15729037.487499995</v>
      </c>
      <c r="D14" s="49"/>
      <c r="E14" s="49"/>
      <c r="F14" s="49"/>
      <c r="G14" s="21"/>
      <c r="H14" s="21"/>
      <c r="I14" s="21"/>
    </row>
    <row r="15" spans="1:9" ht="14" thickBot="1" x14ac:dyDescent="0.2">
      <c r="A15" s="21"/>
      <c r="B15" s="21"/>
      <c r="C15" s="21"/>
      <c r="D15" s="21"/>
      <c r="E15" s="21"/>
      <c r="F15" s="21"/>
      <c r="G15" s="21"/>
      <c r="H15" s="21"/>
      <c r="I15" s="21"/>
    </row>
    <row r="16" spans="1:9" x14ac:dyDescent="0.15">
      <c r="A16" s="24"/>
      <c r="B16" s="24" t="s">
        <v>23</v>
      </c>
      <c r="C16" s="24" t="s">
        <v>11</v>
      </c>
      <c r="D16" s="24" t="s">
        <v>24</v>
      </c>
      <c r="E16" s="24" t="s">
        <v>25</v>
      </c>
      <c r="F16" s="24" t="s">
        <v>26</v>
      </c>
      <c r="G16" s="24" t="s">
        <v>27</v>
      </c>
      <c r="H16" s="24" t="s">
        <v>38</v>
      </c>
      <c r="I16" s="24" t="s">
        <v>39</v>
      </c>
    </row>
    <row r="17" spans="1:9" x14ac:dyDescent="0.15">
      <c r="A17" s="48" t="s">
        <v>17</v>
      </c>
      <c r="B17" s="48">
        <v>-8929.4078655301419</v>
      </c>
      <c r="C17" s="48">
        <v>1527.2676607566516</v>
      </c>
      <c r="D17" s="48">
        <v>-5.8466554979015664</v>
      </c>
      <c r="E17" s="48">
        <v>1.1102177484682983E-7</v>
      </c>
      <c r="F17" s="48">
        <v>-11969.964211238412</v>
      </c>
      <c r="G17" s="48">
        <v>-5888.8515198218729</v>
      </c>
      <c r="H17" s="48">
        <v>-11471.735252383629</v>
      </c>
      <c r="I17" s="48">
        <v>-6387.0804786766557</v>
      </c>
    </row>
    <row r="18" spans="1:9" ht="14" thickBot="1" x14ac:dyDescent="0.2">
      <c r="A18" s="49" t="s">
        <v>61</v>
      </c>
      <c r="B18" s="49">
        <v>2226.6800746633603</v>
      </c>
      <c r="C18" s="49">
        <v>359.3454261532566</v>
      </c>
      <c r="D18" s="49">
        <v>6.1964892624338219</v>
      </c>
      <c r="E18" s="49">
        <v>2.5406381731880838E-8</v>
      </c>
      <c r="F18" s="49">
        <v>1511.2782863152611</v>
      </c>
      <c r="G18" s="49">
        <v>2942.0818630114595</v>
      </c>
      <c r="H18" s="49">
        <v>1628.5048223979186</v>
      </c>
      <c r="I18" s="49">
        <v>2824.8553269288022</v>
      </c>
    </row>
    <row r="19" spans="1:9" x14ac:dyDescent="0.15">
      <c r="A19" s="21"/>
      <c r="B19" s="21"/>
      <c r="C19" s="21"/>
      <c r="D19" s="21"/>
      <c r="E19" s="21"/>
      <c r="F19" s="21"/>
      <c r="G19" s="21"/>
      <c r="H19" s="21"/>
      <c r="I19" s="21"/>
    </row>
    <row r="20" spans="1:9" x14ac:dyDescent="0.15">
      <c r="A20" s="21"/>
      <c r="B20" s="21"/>
      <c r="C20" s="21"/>
      <c r="D20" s="21"/>
      <c r="E20" s="21"/>
      <c r="F20" s="21"/>
      <c r="G20" s="21"/>
      <c r="H20" s="21"/>
      <c r="I20" s="21"/>
    </row>
    <row r="21" spans="1:9" x14ac:dyDescent="0.15">
      <c r="A21" s="21"/>
      <c r="B21" s="21"/>
      <c r="C21" s="21"/>
      <c r="D21" s="21"/>
      <c r="E21" s="21"/>
      <c r="F21" s="21"/>
      <c r="G21" s="21"/>
      <c r="H21" s="21"/>
      <c r="I21" s="2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A080-6880-E74D-8118-1A5A5A077CC1}">
  <dimension ref="A1:J81"/>
  <sheetViews>
    <sheetView workbookViewId="0">
      <selection activeCell="E3" sqref="E3"/>
    </sheetView>
  </sheetViews>
  <sheetFormatPr baseColWidth="10" defaultRowHeight="13" x14ac:dyDescent="0.15"/>
  <cols>
    <col min="5" max="5" width="25" bestFit="1" customWidth="1"/>
    <col min="6" max="6" width="13.6640625" bestFit="1" customWidth="1"/>
    <col min="8" max="8" width="24.5" bestFit="1" customWidth="1"/>
  </cols>
  <sheetData>
    <row r="1" spans="1:8" x14ac:dyDescent="0.15">
      <c r="A1" s="12" t="s">
        <v>3</v>
      </c>
      <c r="B1" s="12" t="s">
        <v>4</v>
      </c>
      <c r="C1" s="12" t="s">
        <v>3</v>
      </c>
      <c r="D1" s="12" t="s">
        <v>32</v>
      </c>
      <c r="E1" s="12" t="s">
        <v>61</v>
      </c>
      <c r="F1" s="12" t="s">
        <v>32</v>
      </c>
      <c r="G1" s="12" t="s">
        <v>3</v>
      </c>
      <c r="H1" s="12" t="s">
        <v>46</v>
      </c>
    </row>
    <row r="2" spans="1:8" x14ac:dyDescent="0.15">
      <c r="A2">
        <v>88.8</v>
      </c>
      <c r="B2">
        <v>1012</v>
      </c>
      <c r="C2" s="50">
        <f>A2</f>
        <v>88.8</v>
      </c>
      <c r="D2" s="19">
        <f>B2*1000</f>
        <v>1012000</v>
      </c>
      <c r="E2" s="40">
        <f>LN(C2)</f>
        <v>4.4863866499981242</v>
      </c>
      <c r="F2" s="19">
        <f>D2*1000</f>
        <v>1012000000</v>
      </c>
      <c r="G2">
        <v>88.8</v>
      </c>
      <c r="H2" s="19">
        <f>G2^2</f>
        <v>7885.44</v>
      </c>
    </row>
    <row r="3" spans="1:8" x14ac:dyDescent="0.15">
      <c r="A3">
        <v>64.599999999999994</v>
      </c>
      <c r="B3">
        <v>247</v>
      </c>
      <c r="C3" s="50">
        <f t="shared" ref="C3:C66" si="0">A3</f>
        <v>64.599999999999994</v>
      </c>
      <c r="D3" s="19">
        <f t="shared" ref="D3:F66" si="1">B3*1000</f>
        <v>247000</v>
      </c>
      <c r="E3" s="40">
        <f>LN(C3)</f>
        <v>4.1682144107885559</v>
      </c>
      <c r="F3" s="19">
        <f t="shared" si="1"/>
        <v>247000000</v>
      </c>
      <c r="G3">
        <v>64.599999999999994</v>
      </c>
      <c r="H3" s="19">
        <f t="shared" ref="H3:H66" si="2">G3^2</f>
        <v>4173.1599999999989</v>
      </c>
    </row>
    <row r="4" spans="1:8" x14ac:dyDescent="0.15">
      <c r="A4">
        <v>58.6</v>
      </c>
      <c r="B4">
        <v>235</v>
      </c>
      <c r="C4" s="50">
        <f t="shared" si="0"/>
        <v>58.6</v>
      </c>
      <c r="D4" s="19">
        <f t="shared" si="1"/>
        <v>235000</v>
      </c>
      <c r="E4" s="40">
        <f t="shared" ref="E4:E66" si="3">LN(C4)</f>
        <v>4.0707346965829672</v>
      </c>
      <c r="F4" s="19">
        <f t="shared" si="1"/>
        <v>235000000</v>
      </c>
      <c r="G4">
        <v>58.6</v>
      </c>
      <c r="H4" s="19">
        <f t="shared" si="2"/>
        <v>3433.96</v>
      </c>
    </row>
    <row r="5" spans="1:8" x14ac:dyDescent="0.15">
      <c r="A5" s="7">
        <v>57.1</v>
      </c>
      <c r="B5" s="6">
        <v>79</v>
      </c>
      <c r="C5" s="50">
        <f t="shared" si="0"/>
        <v>57.1</v>
      </c>
      <c r="D5" s="19">
        <f t="shared" si="1"/>
        <v>79000</v>
      </c>
      <c r="E5" s="40">
        <f t="shared" si="3"/>
        <v>4.0448041166619646</v>
      </c>
      <c r="F5" s="19">
        <f t="shared" si="1"/>
        <v>79000000</v>
      </c>
      <c r="G5" s="7">
        <v>57.1</v>
      </c>
      <c r="H5" s="19">
        <f t="shared" si="2"/>
        <v>3260.4100000000003</v>
      </c>
    </row>
    <row r="6" spans="1:8" x14ac:dyDescent="0.15">
      <c r="A6">
        <v>77.400000000000006</v>
      </c>
      <c r="B6">
        <v>123</v>
      </c>
      <c r="C6" s="50">
        <f t="shared" si="0"/>
        <v>77.400000000000006</v>
      </c>
      <c r="D6" s="19">
        <f t="shared" si="1"/>
        <v>123000</v>
      </c>
      <c r="E6" s="40">
        <f t="shared" si="3"/>
        <v>4.3489867805956814</v>
      </c>
      <c r="F6" s="19">
        <f t="shared" si="1"/>
        <v>123000000</v>
      </c>
      <c r="G6">
        <v>77.400000000000006</v>
      </c>
      <c r="H6" s="19">
        <f t="shared" si="2"/>
        <v>5990.7600000000011</v>
      </c>
    </row>
    <row r="7" spans="1:8" x14ac:dyDescent="0.15">
      <c r="A7" s="7">
        <v>57.8</v>
      </c>
      <c r="B7" s="6">
        <v>65</v>
      </c>
      <c r="C7" s="50">
        <f t="shared" si="0"/>
        <v>57.8</v>
      </c>
      <c r="D7" s="19">
        <f t="shared" si="1"/>
        <v>65000</v>
      </c>
      <c r="E7" s="40">
        <f t="shared" si="3"/>
        <v>4.0569887756783318</v>
      </c>
      <c r="F7" s="19">
        <f t="shared" si="1"/>
        <v>65000000</v>
      </c>
      <c r="G7" s="7">
        <v>57.8</v>
      </c>
      <c r="H7" s="19">
        <f t="shared" si="2"/>
        <v>3340.8399999999997</v>
      </c>
    </row>
    <row r="8" spans="1:8" x14ac:dyDescent="0.15">
      <c r="A8">
        <v>70</v>
      </c>
      <c r="B8">
        <v>630</v>
      </c>
      <c r="C8" s="50">
        <f t="shared" si="0"/>
        <v>70</v>
      </c>
      <c r="D8" s="19">
        <f t="shared" si="1"/>
        <v>630000</v>
      </c>
      <c r="E8" s="40">
        <f t="shared" si="3"/>
        <v>4.2484952420493594</v>
      </c>
      <c r="F8" s="19">
        <f t="shared" si="1"/>
        <v>630000000</v>
      </c>
      <c r="G8">
        <v>70</v>
      </c>
      <c r="H8" s="19">
        <f t="shared" si="2"/>
        <v>4900</v>
      </c>
    </row>
    <row r="9" spans="1:8" x14ac:dyDescent="0.15">
      <c r="A9" s="7">
        <v>63.8</v>
      </c>
      <c r="B9" s="6">
        <v>501</v>
      </c>
      <c r="C9" s="50">
        <f t="shared" si="0"/>
        <v>63.8</v>
      </c>
      <c r="D9" s="19">
        <f t="shared" si="1"/>
        <v>501000</v>
      </c>
      <c r="E9" s="40">
        <f t="shared" si="3"/>
        <v>4.1557531903507439</v>
      </c>
      <c r="F9" s="19">
        <f t="shared" si="1"/>
        <v>501000000</v>
      </c>
      <c r="G9" s="7">
        <v>63.8</v>
      </c>
      <c r="H9" s="19">
        <f t="shared" si="2"/>
        <v>4070.4399999999996</v>
      </c>
    </row>
    <row r="10" spans="1:8" x14ac:dyDescent="0.15">
      <c r="A10">
        <v>78.5</v>
      </c>
      <c r="B10">
        <v>200</v>
      </c>
      <c r="C10" s="50">
        <f t="shared" si="0"/>
        <v>78.5</v>
      </c>
      <c r="D10" s="19">
        <f t="shared" si="1"/>
        <v>200000</v>
      </c>
      <c r="E10" s="40">
        <f t="shared" si="3"/>
        <v>4.3630986247883632</v>
      </c>
      <c r="F10" s="19">
        <f t="shared" si="1"/>
        <v>200000000</v>
      </c>
      <c r="G10">
        <v>78.5</v>
      </c>
      <c r="H10" s="19">
        <f t="shared" si="2"/>
        <v>6162.25</v>
      </c>
    </row>
    <row r="11" spans="1:8" x14ac:dyDescent="0.15">
      <c r="A11" s="7">
        <v>69.7</v>
      </c>
      <c r="B11" s="6">
        <v>579</v>
      </c>
      <c r="C11" s="50">
        <f t="shared" si="0"/>
        <v>69.7</v>
      </c>
      <c r="D11" s="19">
        <f t="shared" si="1"/>
        <v>579000</v>
      </c>
      <c r="E11" s="40">
        <f t="shared" si="3"/>
        <v>4.2442003177664782</v>
      </c>
      <c r="F11" s="19">
        <f t="shared" si="1"/>
        <v>579000000</v>
      </c>
      <c r="G11" s="7">
        <v>69.7</v>
      </c>
      <c r="H11" s="19">
        <f t="shared" si="2"/>
        <v>4858.09</v>
      </c>
    </row>
    <row r="12" spans="1:8" x14ac:dyDescent="0.15">
      <c r="A12">
        <v>67.599999999999994</v>
      </c>
      <c r="B12">
        <v>511</v>
      </c>
      <c r="C12" s="50">
        <f t="shared" si="0"/>
        <v>67.599999999999994</v>
      </c>
      <c r="D12" s="19">
        <f t="shared" si="1"/>
        <v>511000</v>
      </c>
      <c r="E12" s="40">
        <f t="shared" si="3"/>
        <v>4.2136079830489184</v>
      </c>
      <c r="F12" s="19">
        <f t="shared" si="1"/>
        <v>511000000</v>
      </c>
      <c r="G12">
        <v>67.599999999999994</v>
      </c>
      <c r="H12" s="19">
        <f t="shared" si="2"/>
        <v>4569.7599999999993</v>
      </c>
    </row>
    <row r="13" spans="1:8" x14ac:dyDescent="0.15">
      <c r="A13">
        <v>76.3</v>
      </c>
      <c r="B13">
        <v>587</v>
      </c>
      <c r="C13" s="50">
        <f t="shared" si="0"/>
        <v>76.3</v>
      </c>
      <c r="D13" s="19">
        <f t="shared" si="1"/>
        <v>587000</v>
      </c>
      <c r="E13" s="40">
        <f t="shared" si="3"/>
        <v>4.334672938290411</v>
      </c>
      <c r="F13" s="19">
        <f t="shared" si="1"/>
        <v>587000000</v>
      </c>
      <c r="G13">
        <v>76.3</v>
      </c>
      <c r="H13" s="19">
        <f t="shared" si="2"/>
        <v>5821.69</v>
      </c>
    </row>
    <row r="14" spans="1:8" x14ac:dyDescent="0.15">
      <c r="A14">
        <v>66.5</v>
      </c>
      <c r="B14">
        <v>399</v>
      </c>
      <c r="C14" s="50">
        <f t="shared" si="0"/>
        <v>66.5</v>
      </c>
      <c r="D14" s="19">
        <f t="shared" si="1"/>
        <v>399000</v>
      </c>
      <c r="E14" s="40">
        <f t="shared" si="3"/>
        <v>4.1972019476618083</v>
      </c>
      <c r="F14" s="19">
        <f t="shared" si="1"/>
        <v>399000000</v>
      </c>
      <c r="G14">
        <v>66.5</v>
      </c>
      <c r="H14" s="19">
        <f t="shared" si="2"/>
        <v>4422.25</v>
      </c>
    </row>
    <row r="15" spans="1:8" x14ac:dyDescent="0.15">
      <c r="A15" s="7">
        <v>61.9</v>
      </c>
      <c r="B15" s="6">
        <v>235</v>
      </c>
      <c r="C15" s="50">
        <f t="shared" si="0"/>
        <v>61.9</v>
      </c>
      <c r="D15" s="19">
        <f t="shared" si="1"/>
        <v>235000</v>
      </c>
      <c r="E15" s="40">
        <f t="shared" si="3"/>
        <v>4.1255201796905503</v>
      </c>
      <c r="F15" s="19">
        <f t="shared" si="1"/>
        <v>235000000</v>
      </c>
      <c r="G15" s="7">
        <v>61.9</v>
      </c>
      <c r="H15" s="19">
        <f t="shared" si="2"/>
        <v>3831.6099999999997</v>
      </c>
    </row>
    <row r="16" spans="1:8" x14ac:dyDescent="0.15">
      <c r="A16">
        <v>85.3</v>
      </c>
      <c r="B16">
        <v>1867</v>
      </c>
      <c r="C16" s="50">
        <f t="shared" si="0"/>
        <v>85.3</v>
      </c>
      <c r="D16" s="19">
        <f t="shared" si="1"/>
        <v>1867000</v>
      </c>
      <c r="E16" s="40">
        <f t="shared" si="3"/>
        <v>4.4461744544976334</v>
      </c>
      <c r="F16" s="19">
        <f t="shared" si="1"/>
        <v>1867000000</v>
      </c>
      <c r="G16">
        <v>85.3</v>
      </c>
      <c r="H16" s="19">
        <f t="shared" si="2"/>
        <v>7276.0899999999992</v>
      </c>
    </row>
    <row r="17" spans="1:10" x14ac:dyDescent="0.15">
      <c r="A17">
        <v>71.099999999999994</v>
      </c>
      <c r="B17">
        <v>230</v>
      </c>
      <c r="C17" s="50">
        <f t="shared" si="0"/>
        <v>71.099999999999994</v>
      </c>
      <c r="D17" s="19">
        <f t="shared" si="1"/>
        <v>230000</v>
      </c>
      <c r="E17" s="40">
        <f t="shared" si="3"/>
        <v>4.2640873368091947</v>
      </c>
      <c r="F17" s="19">
        <f t="shared" si="1"/>
        <v>230000000</v>
      </c>
      <c r="G17">
        <v>71.099999999999994</v>
      </c>
      <c r="H17" s="19">
        <f t="shared" si="2"/>
        <v>5055.2099999999991</v>
      </c>
    </row>
    <row r="18" spans="1:10" x14ac:dyDescent="0.15">
      <c r="A18" s="7">
        <v>58.1</v>
      </c>
      <c r="B18" s="6">
        <v>88</v>
      </c>
      <c r="C18" s="50">
        <f t="shared" si="0"/>
        <v>58.1</v>
      </c>
      <c r="D18" s="19">
        <f t="shared" si="1"/>
        <v>88000</v>
      </c>
      <c r="E18" s="40">
        <f t="shared" si="3"/>
        <v>4.0621656638578658</v>
      </c>
      <c r="F18" s="19">
        <f t="shared" si="1"/>
        <v>88000000</v>
      </c>
      <c r="G18" s="7">
        <v>58.1</v>
      </c>
      <c r="H18" s="19">
        <f t="shared" si="2"/>
        <v>3375.61</v>
      </c>
    </row>
    <row r="19" spans="1:10" x14ac:dyDescent="0.15">
      <c r="A19">
        <v>63.1</v>
      </c>
      <c r="B19">
        <v>162</v>
      </c>
      <c r="C19" s="50">
        <f t="shared" si="0"/>
        <v>63.1</v>
      </c>
      <c r="D19" s="19">
        <f t="shared" si="1"/>
        <v>162000</v>
      </c>
      <c r="E19" s="40">
        <f t="shared" si="3"/>
        <v>4.1447207695471677</v>
      </c>
      <c r="F19" s="19">
        <f t="shared" si="1"/>
        <v>162000000</v>
      </c>
      <c r="G19">
        <v>63.1</v>
      </c>
      <c r="H19" s="19">
        <f t="shared" si="2"/>
        <v>3981.61</v>
      </c>
    </row>
    <row r="20" spans="1:10" x14ac:dyDescent="0.15">
      <c r="A20" s="7">
        <v>80.900000000000006</v>
      </c>
      <c r="B20" s="6">
        <v>1766</v>
      </c>
      <c r="C20" s="50">
        <f t="shared" si="0"/>
        <v>80.900000000000006</v>
      </c>
      <c r="D20" s="19">
        <f t="shared" si="1"/>
        <v>1766000</v>
      </c>
      <c r="E20" s="40">
        <f t="shared" si="3"/>
        <v>4.3932138240644463</v>
      </c>
      <c r="F20" s="19">
        <f t="shared" si="1"/>
        <v>1766000000</v>
      </c>
      <c r="G20" s="7">
        <v>80.900000000000006</v>
      </c>
      <c r="H20" s="19">
        <f t="shared" si="2"/>
        <v>6544.8100000000013</v>
      </c>
    </row>
    <row r="21" spans="1:10" x14ac:dyDescent="0.15">
      <c r="A21" s="7">
        <v>66.599999999999994</v>
      </c>
      <c r="B21" s="6">
        <v>423</v>
      </c>
      <c r="C21" s="50">
        <f t="shared" si="0"/>
        <v>66.599999999999994</v>
      </c>
      <c r="D21" s="19">
        <f t="shared" si="1"/>
        <v>423000</v>
      </c>
      <c r="E21" s="40">
        <f t="shared" si="3"/>
        <v>4.1987045775463434</v>
      </c>
      <c r="F21" s="19">
        <f t="shared" si="1"/>
        <v>423000000</v>
      </c>
      <c r="G21" s="7">
        <v>66.599999999999994</v>
      </c>
      <c r="H21" s="19">
        <f t="shared" si="2"/>
        <v>4435.5599999999995</v>
      </c>
    </row>
    <row r="22" spans="1:10" x14ac:dyDescent="0.15">
      <c r="A22">
        <v>86</v>
      </c>
      <c r="B22">
        <v>959</v>
      </c>
      <c r="C22" s="50">
        <f t="shared" si="0"/>
        <v>86</v>
      </c>
      <c r="D22" s="19">
        <f t="shared" si="1"/>
        <v>959000</v>
      </c>
      <c r="E22" s="40">
        <f t="shared" si="3"/>
        <v>4.4543472962535073</v>
      </c>
      <c r="F22" s="19">
        <f t="shared" si="1"/>
        <v>959000000</v>
      </c>
      <c r="G22">
        <v>86</v>
      </c>
      <c r="H22" s="19">
        <f t="shared" si="2"/>
        <v>7396</v>
      </c>
    </row>
    <row r="23" spans="1:10" x14ac:dyDescent="0.15">
      <c r="A23" s="7">
        <v>65.599999999999994</v>
      </c>
      <c r="B23" s="6">
        <v>65</v>
      </c>
      <c r="C23" s="50">
        <f t="shared" si="0"/>
        <v>65.599999999999994</v>
      </c>
      <c r="D23" s="19">
        <f t="shared" si="1"/>
        <v>65000</v>
      </c>
      <c r="E23" s="40">
        <f t="shared" si="3"/>
        <v>4.1835756959500436</v>
      </c>
      <c r="F23" s="19">
        <f t="shared" si="1"/>
        <v>65000000</v>
      </c>
      <c r="G23" s="7">
        <v>65.599999999999994</v>
      </c>
      <c r="H23" s="19">
        <f t="shared" si="2"/>
        <v>4303.3599999999997</v>
      </c>
    </row>
    <row r="24" spans="1:10" x14ac:dyDescent="0.15">
      <c r="A24">
        <v>54.5</v>
      </c>
      <c r="B24">
        <v>83</v>
      </c>
      <c r="C24" s="50">
        <f t="shared" si="0"/>
        <v>54.5</v>
      </c>
      <c r="D24" s="19">
        <f t="shared" si="1"/>
        <v>83000</v>
      </c>
      <c r="E24" s="40">
        <f t="shared" si="3"/>
        <v>3.9982007016691985</v>
      </c>
      <c r="F24" s="19">
        <f t="shared" si="1"/>
        <v>83000000</v>
      </c>
      <c r="G24">
        <v>54.5</v>
      </c>
      <c r="H24" s="19">
        <f t="shared" si="2"/>
        <v>2970.25</v>
      </c>
    </row>
    <row r="25" spans="1:10" x14ac:dyDescent="0.15">
      <c r="A25" s="7">
        <v>71.3</v>
      </c>
      <c r="B25" s="6">
        <v>148</v>
      </c>
      <c r="C25" s="50">
        <f t="shared" si="0"/>
        <v>71.3</v>
      </c>
      <c r="D25" s="19">
        <f t="shared" si="1"/>
        <v>148000</v>
      </c>
      <c r="E25" s="40">
        <f t="shared" si="3"/>
        <v>4.26689632742025</v>
      </c>
      <c r="F25" s="19">
        <f t="shared" si="1"/>
        <v>148000000</v>
      </c>
      <c r="G25" s="7">
        <v>71.3</v>
      </c>
      <c r="H25" s="19">
        <f t="shared" si="2"/>
        <v>5083.6899999999996</v>
      </c>
    </row>
    <row r="26" spans="1:10" x14ac:dyDescent="0.15">
      <c r="A26">
        <v>69.400000000000006</v>
      </c>
      <c r="B26">
        <v>315</v>
      </c>
      <c r="C26" s="50">
        <f t="shared" si="0"/>
        <v>69.400000000000006</v>
      </c>
      <c r="D26" s="19">
        <f t="shared" si="1"/>
        <v>315000</v>
      </c>
      <c r="E26" s="40">
        <f t="shared" si="3"/>
        <v>4.2398868675127588</v>
      </c>
      <c r="F26" s="19">
        <f t="shared" si="1"/>
        <v>315000000</v>
      </c>
      <c r="G26">
        <v>69.400000000000006</v>
      </c>
      <c r="H26" s="19">
        <f t="shared" si="2"/>
        <v>4816.3600000000006</v>
      </c>
    </row>
    <row r="27" spans="1:10" x14ac:dyDescent="0.15">
      <c r="A27">
        <v>79.599999999999994</v>
      </c>
      <c r="B27">
        <v>1309</v>
      </c>
      <c r="C27" s="50">
        <f t="shared" si="0"/>
        <v>79.599999999999994</v>
      </c>
      <c r="D27" s="19">
        <f t="shared" si="1"/>
        <v>1309000</v>
      </c>
      <c r="E27" s="40">
        <f t="shared" si="3"/>
        <v>4.3770140928503372</v>
      </c>
      <c r="F27" s="19">
        <f t="shared" si="1"/>
        <v>1309000000</v>
      </c>
      <c r="G27">
        <v>79.599999999999994</v>
      </c>
      <c r="H27" s="19">
        <f t="shared" si="2"/>
        <v>6336.1599999999989</v>
      </c>
    </row>
    <row r="28" spans="1:10" x14ac:dyDescent="0.15">
      <c r="A28" s="7">
        <v>71</v>
      </c>
      <c r="B28" s="6">
        <v>871</v>
      </c>
      <c r="C28" s="50">
        <f t="shared" si="0"/>
        <v>71</v>
      </c>
      <c r="D28" s="19">
        <f t="shared" si="1"/>
        <v>871000</v>
      </c>
      <c r="E28" s="40">
        <f t="shared" si="3"/>
        <v>4.2626798770413155</v>
      </c>
      <c r="F28" s="19">
        <f t="shared" si="1"/>
        <v>871000000</v>
      </c>
      <c r="G28" s="7">
        <v>71</v>
      </c>
      <c r="H28" s="19">
        <f t="shared" si="2"/>
        <v>5041</v>
      </c>
      <c r="J28" t="s">
        <v>35</v>
      </c>
    </row>
    <row r="29" spans="1:10" x14ac:dyDescent="0.15">
      <c r="A29" s="7">
        <v>60.4</v>
      </c>
      <c r="B29" s="6">
        <v>127</v>
      </c>
      <c r="C29" s="50">
        <f t="shared" si="0"/>
        <v>60.4</v>
      </c>
      <c r="D29" s="19">
        <f t="shared" si="1"/>
        <v>127000</v>
      </c>
      <c r="E29" s="40">
        <f t="shared" si="3"/>
        <v>4.1009891049407692</v>
      </c>
      <c r="F29" s="19">
        <f t="shared" si="1"/>
        <v>127000000</v>
      </c>
      <c r="G29" s="7">
        <v>60.4</v>
      </c>
      <c r="H29" s="19">
        <f t="shared" si="2"/>
        <v>3648.16</v>
      </c>
      <c r="J29">
        <f>CORREL(C2:C81,D2:D81)</f>
        <v>0.58174642062989801</v>
      </c>
    </row>
    <row r="30" spans="1:10" x14ac:dyDescent="0.15">
      <c r="A30" s="7">
        <v>65.8</v>
      </c>
      <c r="B30" s="6">
        <v>422</v>
      </c>
      <c r="C30" s="50">
        <f t="shared" si="0"/>
        <v>65.8</v>
      </c>
      <c r="D30" s="19">
        <f t="shared" si="1"/>
        <v>422000</v>
      </c>
      <c r="E30" s="40">
        <f t="shared" si="3"/>
        <v>4.1866198383312714</v>
      </c>
      <c r="F30" s="19">
        <f t="shared" si="1"/>
        <v>422000000</v>
      </c>
      <c r="G30" s="7">
        <v>65.8</v>
      </c>
      <c r="H30" s="19">
        <f t="shared" si="2"/>
        <v>4329.6399999999994</v>
      </c>
    </row>
    <row r="31" spans="1:10" x14ac:dyDescent="0.15">
      <c r="A31">
        <v>71.900000000000006</v>
      </c>
      <c r="B31">
        <v>430</v>
      </c>
      <c r="C31" s="50">
        <f t="shared" si="0"/>
        <v>71.900000000000006</v>
      </c>
      <c r="D31" s="19">
        <f t="shared" si="1"/>
        <v>430000</v>
      </c>
      <c r="E31" s="40">
        <f t="shared" si="3"/>
        <v>4.2752762647270011</v>
      </c>
      <c r="F31" s="19">
        <f t="shared" si="1"/>
        <v>430000000</v>
      </c>
      <c r="G31">
        <v>71.900000000000006</v>
      </c>
      <c r="H31" s="19">
        <f t="shared" si="2"/>
        <v>5169.6100000000006</v>
      </c>
    </row>
    <row r="32" spans="1:10" x14ac:dyDescent="0.15">
      <c r="A32" s="7">
        <v>72.599999999999994</v>
      </c>
      <c r="B32" s="6">
        <v>453</v>
      </c>
      <c r="C32" s="50">
        <f t="shared" si="0"/>
        <v>72.599999999999994</v>
      </c>
      <c r="D32" s="19">
        <f t="shared" si="1"/>
        <v>453000</v>
      </c>
      <c r="E32" s="40">
        <f t="shared" si="3"/>
        <v>4.28496492183075</v>
      </c>
      <c r="F32" s="19">
        <f t="shared" si="1"/>
        <v>453000000</v>
      </c>
      <c r="G32" s="7">
        <v>72.599999999999994</v>
      </c>
      <c r="H32" s="19">
        <f t="shared" si="2"/>
        <v>5270.7599999999993</v>
      </c>
    </row>
    <row r="33" spans="1:8" x14ac:dyDescent="0.15">
      <c r="A33">
        <v>79</v>
      </c>
      <c r="B33">
        <v>573</v>
      </c>
      <c r="C33" s="50">
        <f t="shared" si="0"/>
        <v>79</v>
      </c>
      <c r="D33" s="19">
        <f t="shared" si="1"/>
        <v>573000</v>
      </c>
      <c r="E33" s="40">
        <f t="shared" si="3"/>
        <v>4.3694478524670215</v>
      </c>
      <c r="F33" s="19">
        <f t="shared" si="1"/>
        <v>573000000</v>
      </c>
      <c r="G33">
        <v>79</v>
      </c>
      <c r="H33" s="19">
        <f t="shared" si="2"/>
        <v>6241</v>
      </c>
    </row>
    <row r="34" spans="1:8" x14ac:dyDescent="0.15">
      <c r="A34">
        <v>73.2</v>
      </c>
      <c r="B34">
        <v>609</v>
      </c>
      <c r="C34" s="50">
        <f t="shared" si="0"/>
        <v>73.2</v>
      </c>
      <c r="D34" s="19">
        <f t="shared" si="1"/>
        <v>609000</v>
      </c>
      <c r="E34" s="40">
        <f t="shared" si="3"/>
        <v>4.2931954209672663</v>
      </c>
      <c r="F34" s="19">
        <f t="shared" si="1"/>
        <v>609000000</v>
      </c>
      <c r="G34">
        <v>73.2</v>
      </c>
      <c r="H34" s="19">
        <f t="shared" si="2"/>
        <v>5358.2400000000007</v>
      </c>
    </row>
    <row r="35" spans="1:8" x14ac:dyDescent="0.15">
      <c r="A35" s="7">
        <v>83.6</v>
      </c>
      <c r="B35" s="6">
        <v>769</v>
      </c>
      <c r="C35" s="50">
        <f t="shared" si="0"/>
        <v>83.6</v>
      </c>
      <c r="D35" s="19">
        <f t="shared" si="1"/>
        <v>769000</v>
      </c>
      <c r="E35" s="40">
        <f t="shared" si="3"/>
        <v>4.4260435200906558</v>
      </c>
      <c r="F35" s="19">
        <f t="shared" si="1"/>
        <v>769000000</v>
      </c>
      <c r="G35" s="7">
        <v>83.6</v>
      </c>
      <c r="H35" s="19">
        <f t="shared" si="2"/>
        <v>6988.9599999999991</v>
      </c>
    </row>
    <row r="36" spans="1:8" x14ac:dyDescent="0.15">
      <c r="A36" s="7">
        <v>66.8</v>
      </c>
      <c r="B36" s="6">
        <v>370</v>
      </c>
      <c r="C36" s="50">
        <f t="shared" si="0"/>
        <v>66.8</v>
      </c>
      <c r="D36" s="19">
        <f t="shared" si="1"/>
        <v>370000</v>
      </c>
      <c r="E36" s="40">
        <f t="shared" si="3"/>
        <v>4.2017030805426003</v>
      </c>
      <c r="F36" s="19">
        <f t="shared" si="1"/>
        <v>370000000</v>
      </c>
      <c r="G36" s="7">
        <v>66.8</v>
      </c>
      <c r="H36" s="19">
        <f t="shared" si="2"/>
        <v>4462.24</v>
      </c>
    </row>
    <row r="37" spans="1:8" x14ac:dyDescent="0.15">
      <c r="A37">
        <v>79.099999999999994</v>
      </c>
      <c r="B37">
        <v>412</v>
      </c>
      <c r="C37" s="50">
        <f t="shared" si="0"/>
        <v>79.099999999999994</v>
      </c>
      <c r="D37" s="19">
        <f t="shared" si="1"/>
        <v>412000</v>
      </c>
      <c r="E37" s="40">
        <f t="shared" si="3"/>
        <v>4.3707128747736084</v>
      </c>
      <c r="F37" s="19">
        <f t="shared" si="1"/>
        <v>412000000</v>
      </c>
      <c r="G37">
        <v>79.099999999999994</v>
      </c>
      <c r="H37" s="19">
        <f t="shared" si="2"/>
        <v>6256.8099999999995</v>
      </c>
    </row>
    <row r="38" spans="1:8" x14ac:dyDescent="0.15">
      <c r="A38" s="7">
        <v>60</v>
      </c>
      <c r="B38" s="6">
        <v>186</v>
      </c>
      <c r="C38" s="50">
        <f t="shared" si="0"/>
        <v>60</v>
      </c>
      <c r="D38" s="19">
        <f t="shared" si="1"/>
        <v>186000</v>
      </c>
      <c r="E38" s="40">
        <f t="shared" si="3"/>
        <v>4.0943445622221004</v>
      </c>
      <c r="F38" s="19">
        <f t="shared" si="1"/>
        <v>186000000</v>
      </c>
      <c r="G38" s="7">
        <v>60</v>
      </c>
      <c r="H38" s="19">
        <f t="shared" si="2"/>
        <v>3600</v>
      </c>
    </row>
    <row r="39" spans="1:8" x14ac:dyDescent="0.15">
      <c r="A39">
        <v>82</v>
      </c>
      <c r="B39">
        <v>204</v>
      </c>
      <c r="C39" s="50">
        <f t="shared" si="0"/>
        <v>82</v>
      </c>
      <c r="D39" s="19">
        <f t="shared" si="1"/>
        <v>204000</v>
      </c>
      <c r="E39" s="40">
        <f t="shared" si="3"/>
        <v>4.4067192472642533</v>
      </c>
      <c r="F39" s="19">
        <f t="shared" si="1"/>
        <v>204000000</v>
      </c>
      <c r="G39">
        <v>82</v>
      </c>
      <c r="H39" s="19">
        <f t="shared" si="2"/>
        <v>6724</v>
      </c>
    </row>
    <row r="40" spans="1:8" x14ac:dyDescent="0.15">
      <c r="A40">
        <v>67.2</v>
      </c>
      <c r="B40">
        <v>98</v>
      </c>
      <c r="C40" s="50">
        <f t="shared" si="0"/>
        <v>67.2</v>
      </c>
      <c r="D40" s="19">
        <f t="shared" si="1"/>
        <v>98000</v>
      </c>
      <c r="E40" s="40">
        <f t="shared" si="3"/>
        <v>4.2076732475291037</v>
      </c>
      <c r="F40" s="19">
        <f t="shared" si="1"/>
        <v>98000000</v>
      </c>
      <c r="G40">
        <v>67.2</v>
      </c>
      <c r="H40" s="19">
        <f t="shared" si="2"/>
        <v>4515.84</v>
      </c>
    </row>
    <row r="41" spans="1:8" x14ac:dyDescent="0.15">
      <c r="A41" s="7">
        <v>60.9</v>
      </c>
      <c r="B41" s="6">
        <v>252</v>
      </c>
      <c r="C41" s="50">
        <f t="shared" si="0"/>
        <v>60.9</v>
      </c>
      <c r="D41" s="19">
        <f t="shared" si="1"/>
        <v>252000</v>
      </c>
      <c r="E41" s="40">
        <f t="shared" si="3"/>
        <v>4.1092331747158513</v>
      </c>
      <c r="F41" s="19">
        <f t="shared" si="1"/>
        <v>252000000</v>
      </c>
      <c r="G41" s="7">
        <v>60.9</v>
      </c>
      <c r="H41" s="19">
        <f t="shared" si="2"/>
        <v>3708.81</v>
      </c>
    </row>
    <row r="42" spans="1:8" x14ac:dyDescent="0.15">
      <c r="A42" s="7">
        <v>69.5</v>
      </c>
      <c r="B42" s="6">
        <v>400</v>
      </c>
      <c r="C42" s="50">
        <f t="shared" si="0"/>
        <v>69.5</v>
      </c>
      <c r="D42" s="19">
        <f t="shared" si="1"/>
        <v>400000</v>
      </c>
      <c r="E42" s="40">
        <f t="shared" si="3"/>
        <v>4.2413267525707461</v>
      </c>
      <c r="F42" s="19">
        <f t="shared" si="1"/>
        <v>400000000</v>
      </c>
      <c r="G42" s="7">
        <v>69.5</v>
      </c>
      <c r="H42" s="19">
        <f t="shared" si="2"/>
        <v>4830.25</v>
      </c>
    </row>
    <row r="43" spans="1:8" x14ac:dyDescent="0.15">
      <c r="A43">
        <v>69.7</v>
      </c>
      <c r="B43">
        <v>308</v>
      </c>
      <c r="C43" s="50">
        <f t="shared" si="0"/>
        <v>69.7</v>
      </c>
      <c r="D43" s="19">
        <f t="shared" si="1"/>
        <v>308000</v>
      </c>
      <c r="E43" s="40">
        <f t="shared" si="3"/>
        <v>4.2442003177664782</v>
      </c>
      <c r="F43" s="19">
        <f t="shared" si="1"/>
        <v>308000000</v>
      </c>
      <c r="G43">
        <v>69.7</v>
      </c>
      <c r="H43" s="19">
        <f t="shared" si="2"/>
        <v>4858.09</v>
      </c>
    </row>
    <row r="44" spans="1:8" x14ac:dyDescent="0.15">
      <c r="A44">
        <v>69.2</v>
      </c>
      <c r="B44">
        <v>68</v>
      </c>
      <c r="C44" s="50">
        <f t="shared" si="0"/>
        <v>69.2</v>
      </c>
      <c r="D44" s="19">
        <f t="shared" si="1"/>
        <v>68000</v>
      </c>
      <c r="E44" s="40">
        <f t="shared" si="3"/>
        <v>4.2370008626236242</v>
      </c>
      <c r="F44" s="19">
        <f t="shared" si="1"/>
        <v>68000000</v>
      </c>
      <c r="G44">
        <v>69.2</v>
      </c>
      <c r="H44" s="19">
        <f t="shared" si="2"/>
        <v>4788.6400000000003</v>
      </c>
    </row>
    <row r="45" spans="1:8" x14ac:dyDescent="0.15">
      <c r="A45" s="7">
        <v>78.7</v>
      </c>
      <c r="B45" s="6">
        <v>421</v>
      </c>
      <c r="C45" s="50">
        <f t="shared" si="0"/>
        <v>78.7</v>
      </c>
      <c r="D45" s="19">
        <f t="shared" si="1"/>
        <v>421000</v>
      </c>
      <c r="E45" s="40">
        <f t="shared" si="3"/>
        <v>4.3656431554233572</v>
      </c>
      <c r="F45" s="19">
        <f t="shared" si="1"/>
        <v>421000000</v>
      </c>
      <c r="G45" s="7">
        <v>78.7</v>
      </c>
      <c r="H45" s="19">
        <f t="shared" si="2"/>
        <v>6193.6900000000005</v>
      </c>
    </row>
    <row r="46" spans="1:8" x14ac:dyDescent="0.15">
      <c r="A46" s="7">
        <v>76.400000000000006</v>
      </c>
      <c r="B46" s="6">
        <v>1234</v>
      </c>
      <c r="C46" s="50">
        <f t="shared" si="0"/>
        <v>76.400000000000006</v>
      </c>
      <c r="D46" s="19">
        <f t="shared" si="1"/>
        <v>1234000</v>
      </c>
      <c r="E46" s="40">
        <f t="shared" si="3"/>
        <v>4.3359826961724748</v>
      </c>
      <c r="F46" s="19">
        <f t="shared" si="1"/>
        <v>1234000000</v>
      </c>
      <c r="G46" s="7">
        <v>76.400000000000006</v>
      </c>
      <c r="H46" s="19">
        <f t="shared" si="2"/>
        <v>5836.9600000000009</v>
      </c>
    </row>
    <row r="47" spans="1:8" x14ac:dyDescent="0.15">
      <c r="A47" s="7">
        <v>62.2</v>
      </c>
      <c r="B47" s="6">
        <v>189</v>
      </c>
      <c r="C47" s="50">
        <f t="shared" si="0"/>
        <v>62.2</v>
      </c>
      <c r="D47" s="19">
        <f t="shared" si="1"/>
        <v>189000</v>
      </c>
      <c r="E47" s="40">
        <f t="shared" si="3"/>
        <v>4.1303549997451334</v>
      </c>
      <c r="F47" s="19">
        <f t="shared" si="1"/>
        <v>189000000</v>
      </c>
      <c r="G47" s="7">
        <v>62.2</v>
      </c>
      <c r="H47" s="19">
        <f t="shared" si="2"/>
        <v>3868.84</v>
      </c>
    </row>
    <row r="48" spans="1:8" x14ac:dyDescent="0.15">
      <c r="A48" s="7">
        <v>74.7</v>
      </c>
      <c r="B48" s="6">
        <v>393</v>
      </c>
      <c r="C48" s="50">
        <f t="shared" si="0"/>
        <v>74.7</v>
      </c>
      <c r="D48" s="19">
        <f t="shared" si="1"/>
        <v>393000</v>
      </c>
      <c r="E48" s="40">
        <f t="shared" si="3"/>
        <v>4.3134800921387715</v>
      </c>
      <c r="F48" s="19">
        <f t="shared" si="1"/>
        <v>393000000</v>
      </c>
      <c r="G48" s="7">
        <v>74.7</v>
      </c>
      <c r="H48" s="19">
        <f t="shared" si="2"/>
        <v>5580.09</v>
      </c>
    </row>
    <row r="49" spans="1:8" x14ac:dyDescent="0.15">
      <c r="A49">
        <v>66.2</v>
      </c>
      <c r="B49">
        <v>914</v>
      </c>
      <c r="C49" s="50">
        <f t="shared" si="0"/>
        <v>66.2</v>
      </c>
      <c r="D49" s="19">
        <f t="shared" si="1"/>
        <v>914000</v>
      </c>
      <c r="E49" s="40">
        <f t="shared" si="3"/>
        <v>4.1926804629429624</v>
      </c>
      <c r="F49" s="19">
        <f t="shared" si="1"/>
        <v>914000000</v>
      </c>
      <c r="G49">
        <v>66.2</v>
      </c>
      <c r="H49" s="19">
        <f t="shared" si="2"/>
        <v>4382.4400000000005</v>
      </c>
    </row>
    <row r="50" spans="1:8" x14ac:dyDescent="0.15">
      <c r="A50" s="7">
        <v>74.599999999999994</v>
      </c>
      <c r="B50" s="6">
        <v>190</v>
      </c>
      <c r="C50" s="50">
        <f t="shared" si="0"/>
        <v>74.599999999999994</v>
      </c>
      <c r="D50" s="19">
        <f t="shared" si="1"/>
        <v>190000</v>
      </c>
      <c r="E50" s="40">
        <f t="shared" si="3"/>
        <v>4.3121405072097154</v>
      </c>
      <c r="F50" s="19">
        <f t="shared" si="1"/>
        <v>190000000</v>
      </c>
      <c r="G50" s="7">
        <v>74.599999999999994</v>
      </c>
      <c r="H50" s="19">
        <f t="shared" si="2"/>
        <v>5565.1599999999989</v>
      </c>
    </row>
    <row r="51" spans="1:8" x14ac:dyDescent="0.15">
      <c r="A51" s="7">
        <v>60.9</v>
      </c>
      <c r="B51" s="6">
        <v>573</v>
      </c>
      <c r="C51" s="50">
        <f t="shared" si="0"/>
        <v>60.9</v>
      </c>
      <c r="D51" s="19">
        <f t="shared" si="1"/>
        <v>573000</v>
      </c>
      <c r="E51" s="40">
        <f t="shared" si="3"/>
        <v>4.1092331747158513</v>
      </c>
      <c r="F51" s="19">
        <f t="shared" si="1"/>
        <v>573000000</v>
      </c>
      <c r="G51" s="7">
        <v>60.9</v>
      </c>
      <c r="H51" s="19">
        <f t="shared" si="2"/>
        <v>3708.81</v>
      </c>
    </row>
    <row r="52" spans="1:8" x14ac:dyDescent="0.15">
      <c r="A52">
        <v>69.7</v>
      </c>
      <c r="B52">
        <v>442</v>
      </c>
      <c r="C52" s="50">
        <f t="shared" si="0"/>
        <v>69.7</v>
      </c>
      <c r="D52" s="19">
        <f t="shared" si="1"/>
        <v>442000</v>
      </c>
      <c r="E52" s="40">
        <f t="shared" si="3"/>
        <v>4.2442003177664782</v>
      </c>
      <c r="F52" s="19">
        <f t="shared" si="1"/>
        <v>442000000</v>
      </c>
      <c r="G52">
        <v>69.7</v>
      </c>
      <c r="H52" s="19">
        <f t="shared" si="2"/>
        <v>4858.09</v>
      </c>
    </row>
    <row r="53" spans="1:8" x14ac:dyDescent="0.15">
      <c r="A53" s="7">
        <v>81.599999999999994</v>
      </c>
      <c r="B53" s="6">
        <v>921</v>
      </c>
      <c r="C53" s="50">
        <f t="shared" si="0"/>
        <v>81.599999999999994</v>
      </c>
      <c r="D53" s="19">
        <f t="shared" si="1"/>
        <v>921000</v>
      </c>
      <c r="E53" s="40">
        <f t="shared" si="3"/>
        <v>4.401829261970061</v>
      </c>
      <c r="F53" s="19">
        <f t="shared" si="1"/>
        <v>921000000</v>
      </c>
      <c r="G53" s="7">
        <v>81.599999999999994</v>
      </c>
      <c r="H53" s="19">
        <f t="shared" si="2"/>
        <v>6658.5599999999995</v>
      </c>
    </row>
    <row r="54" spans="1:8" x14ac:dyDescent="0.15">
      <c r="A54">
        <v>64.8</v>
      </c>
      <c r="B54">
        <v>602</v>
      </c>
      <c r="C54" s="50">
        <f t="shared" si="0"/>
        <v>64.8</v>
      </c>
      <c r="D54" s="19">
        <f t="shared" si="1"/>
        <v>602000</v>
      </c>
      <c r="E54" s="40">
        <f t="shared" si="3"/>
        <v>4.1713056033582285</v>
      </c>
      <c r="F54" s="19">
        <f t="shared" si="1"/>
        <v>602000000</v>
      </c>
      <c r="G54">
        <v>64.8</v>
      </c>
      <c r="H54" s="19">
        <f t="shared" si="2"/>
        <v>4199.04</v>
      </c>
    </row>
    <row r="55" spans="1:8" x14ac:dyDescent="0.15">
      <c r="A55" s="7">
        <v>68.099999999999994</v>
      </c>
      <c r="B55" s="6">
        <v>408</v>
      </c>
      <c r="C55" s="50">
        <f t="shared" si="0"/>
        <v>68.099999999999994</v>
      </c>
      <c r="D55" s="19">
        <f t="shared" si="1"/>
        <v>408000</v>
      </c>
      <c r="E55" s="40">
        <f t="shared" si="3"/>
        <v>4.220977213155467</v>
      </c>
      <c r="F55" s="19">
        <f t="shared" si="1"/>
        <v>408000000</v>
      </c>
      <c r="G55" s="7">
        <v>68.099999999999994</v>
      </c>
      <c r="H55" s="19">
        <f t="shared" si="2"/>
        <v>4637.6099999999997</v>
      </c>
    </row>
    <row r="56" spans="1:8" x14ac:dyDescent="0.15">
      <c r="A56" s="7">
        <v>59.8</v>
      </c>
      <c r="B56" s="6">
        <v>429</v>
      </c>
      <c r="C56" s="50">
        <f t="shared" si="0"/>
        <v>59.8</v>
      </c>
      <c r="D56" s="19">
        <f t="shared" si="1"/>
        <v>429000</v>
      </c>
      <c r="E56" s="40">
        <f t="shared" si="3"/>
        <v>4.0910056609565864</v>
      </c>
      <c r="F56" s="19">
        <f t="shared" si="1"/>
        <v>429000000</v>
      </c>
      <c r="G56" s="7">
        <v>59.8</v>
      </c>
      <c r="H56" s="19">
        <f t="shared" si="2"/>
        <v>3576.0399999999995</v>
      </c>
    </row>
    <row r="57" spans="1:8" x14ac:dyDescent="0.15">
      <c r="A57" s="7">
        <v>85.6</v>
      </c>
      <c r="B57" s="6">
        <v>1866</v>
      </c>
      <c r="C57" s="50">
        <f t="shared" si="0"/>
        <v>85.6</v>
      </c>
      <c r="D57" s="19">
        <f t="shared" si="1"/>
        <v>1866000</v>
      </c>
      <c r="E57" s="40">
        <f t="shared" si="3"/>
        <v>4.4496852831476961</v>
      </c>
      <c r="F57" s="19">
        <f t="shared" si="1"/>
        <v>1866000000</v>
      </c>
      <c r="G57" s="7">
        <v>85.6</v>
      </c>
      <c r="H57" s="19">
        <f t="shared" si="2"/>
        <v>7327.3599999999988</v>
      </c>
    </row>
    <row r="58" spans="1:8" x14ac:dyDescent="0.15">
      <c r="A58" s="7">
        <v>76</v>
      </c>
      <c r="B58" s="6">
        <v>609</v>
      </c>
      <c r="C58" s="50">
        <f t="shared" si="0"/>
        <v>76</v>
      </c>
      <c r="D58" s="19">
        <f t="shared" si="1"/>
        <v>609000</v>
      </c>
      <c r="E58" s="40">
        <f t="shared" si="3"/>
        <v>4.3307333402863311</v>
      </c>
      <c r="F58" s="19">
        <f t="shared" si="1"/>
        <v>609000000</v>
      </c>
      <c r="G58" s="7">
        <v>76</v>
      </c>
      <c r="H58" s="19">
        <f t="shared" si="2"/>
        <v>5776</v>
      </c>
    </row>
    <row r="59" spans="1:8" x14ac:dyDescent="0.15">
      <c r="A59" s="7">
        <v>74.8</v>
      </c>
      <c r="B59" s="6">
        <v>435</v>
      </c>
      <c r="C59" s="50">
        <f t="shared" si="0"/>
        <v>74.8</v>
      </c>
      <c r="D59" s="19">
        <f t="shared" si="1"/>
        <v>435000</v>
      </c>
      <c r="E59" s="40">
        <f t="shared" si="3"/>
        <v>4.3148178849804317</v>
      </c>
      <c r="F59" s="19">
        <f t="shared" si="1"/>
        <v>435000000</v>
      </c>
      <c r="G59" s="7">
        <v>74.8</v>
      </c>
      <c r="H59" s="19">
        <f t="shared" si="2"/>
        <v>5595.04</v>
      </c>
    </row>
    <row r="60" spans="1:8" x14ac:dyDescent="0.15">
      <c r="A60" s="7">
        <v>75.599999999999994</v>
      </c>
      <c r="B60" s="6">
        <v>1833</v>
      </c>
      <c r="C60" s="50">
        <f t="shared" si="0"/>
        <v>75.599999999999994</v>
      </c>
      <c r="D60" s="19">
        <f t="shared" si="1"/>
        <v>1833000</v>
      </c>
      <c r="E60" s="40">
        <f t="shared" si="3"/>
        <v>4.3254562831854875</v>
      </c>
      <c r="F60" s="19">
        <f t="shared" si="1"/>
        <v>1833000000</v>
      </c>
      <c r="G60" s="7">
        <v>75.599999999999994</v>
      </c>
      <c r="H60" s="19">
        <f t="shared" si="2"/>
        <v>5715.3599999999988</v>
      </c>
    </row>
    <row r="61" spans="1:8" x14ac:dyDescent="0.15">
      <c r="A61" s="7">
        <v>55.2</v>
      </c>
      <c r="B61" s="6">
        <v>224</v>
      </c>
      <c r="C61" s="50">
        <f t="shared" si="0"/>
        <v>55.2</v>
      </c>
      <c r="D61" s="19">
        <f t="shared" si="1"/>
        <v>224000</v>
      </c>
      <c r="E61" s="40">
        <f t="shared" si="3"/>
        <v>4.01096295328305</v>
      </c>
      <c r="F61" s="19">
        <f t="shared" si="1"/>
        <v>224000000</v>
      </c>
      <c r="G61" s="7">
        <v>55.2</v>
      </c>
      <c r="H61" s="19">
        <f t="shared" si="2"/>
        <v>3047.0400000000004</v>
      </c>
    </row>
    <row r="62" spans="1:8" x14ac:dyDescent="0.15">
      <c r="A62" s="7">
        <v>76.7</v>
      </c>
      <c r="B62" s="6">
        <v>214</v>
      </c>
      <c r="C62" s="50">
        <f t="shared" si="0"/>
        <v>76.7</v>
      </c>
      <c r="D62" s="19">
        <f t="shared" si="1"/>
        <v>214000</v>
      </c>
      <c r="E62" s="40">
        <f t="shared" si="3"/>
        <v>4.3399017083732101</v>
      </c>
      <c r="F62" s="19">
        <f t="shared" si="1"/>
        <v>214000000</v>
      </c>
      <c r="G62" s="7">
        <v>76.7</v>
      </c>
      <c r="H62" s="19">
        <f t="shared" si="2"/>
        <v>5882.89</v>
      </c>
    </row>
    <row r="63" spans="1:8" x14ac:dyDescent="0.15">
      <c r="A63" s="7">
        <v>79.2</v>
      </c>
      <c r="B63" s="6">
        <v>764</v>
      </c>
      <c r="C63" s="50">
        <f t="shared" si="0"/>
        <v>79.2</v>
      </c>
      <c r="D63" s="19">
        <f t="shared" si="1"/>
        <v>764000</v>
      </c>
      <c r="E63" s="40">
        <f t="shared" si="3"/>
        <v>4.3719762988203801</v>
      </c>
      <c r="F63" s="19">
        <f t="shared" si="1"/>
        <v>764000000</v>
      </c>
      <c r="G63" s="7">
        <v>79.2</v>
      </c>
      <c r="H63" s="19">
        <f t="shared" si="2"/>
        <v>6272.64</v>
      </c>
    </row>
    <row r="64" spans="1:8" x14ac:dyDescent="0.15">
      <c r="A64" s="7">
        <v>72.2</v>
      </c>
      <c r="B64" s="6">
        <v>558</v>
      </c>
      <c r="C64" s="50">
        <f t="shared" si="0"/>
        <v>72.2</v>
      </c>
      <c r="D64" s="19">
        <f t="shared" si="1"/>
        <v>558000</v>
      </c>
      <c r="E64" s="40">
        <f t="shared" si="3"/>
        <v>4.2794400458987809</v>
      </c>
      <c r="F64" s="19">
        <f t="shared" si="1"/>
        <v>558000000</v>
      </c>
      <c r="G64" s="7">
        <v>72.2</v>
      </c>
      <c r="H64" s="19">
        <f t="shared" si="2"/>
        <v>5212.84</v>
      </c>
    </row>
    <row r="65" spans="1:8" x14ac:dyDescent="0.15">
      <c r="A65">
        <v>65.900000000000006</v>
      </c>
      <c r="B65">
        <v>375</v>
      </c>
      <c r="C65" s="50">
        <f t="shared" si="0"/>
        <v>65.900000000000006</v>
      </c>
      <c r="D65" s="19">
        <f t="shared" si="1"/>
        <v>375000</v>
      </c>
      <c r="E65" s="40">
        <f t="shared" si="3"/>
        <v>4.1881384415084613</v>
      </c>
      <c r="F65" s="19">
        <f t="shared" si="1"/>
        <v>375000000</v>
      </c>
      <c r="G65">
        <v>65.900000000000006</v>
      </c>
      <c r="H65" s="19">
        <f t="shared" si="2"/>
        <v>4342.8100000000004</v>
      </c>
    </row>
    <row r="66" spans="1:8" x14ac:dyDescent="0.15">
      <c r="A66">
        <v>73</v>
      </c>
      <c r="B66">
        <v>420</v>
      </c>
      <c r="C66" s="50">
        <f t="shared" si="0"/>
        <v>73</v>
      </c>
      <c r="D66" s="19">
        <f t="shared" si="1"/>
        <v>420000</v>
      </c>
      <c r="E66" s="40">
        <f t="shared" si="3"/>
        <v>4.290459441148391</v>
      </c>
      <c r="F66" s="19">
        <f t="shared" si="1"/>
        <v>420000000</v>
      </c>
      <c r="G66">
        <v>73</v>
      </c>
      <c r="H66" s="19">
        <f t="shared" si="2"/>
        <v>5329</v>
      </c>
    </row>
    <row r="67" spans="1:8" x14ac:dyDescent="0.15">
      <c r="A67" s="7">
        <v>60.1</v>
      </c>
      <c r="B67" s="6">
        <v>154</v>
      </c>
      <c r="C67" s="50">
        <f t="shared" ref="C67:C81" si="4">A67</f>
        <v>60.1</v>
      </c>
      <c r="D67" s="19">
        <f t="shared" ref="D67:F81" si="5">B67*1000</f>
        <v>154000</v>
      </c>
      <c r="E67" s="40">
        <f t="shared" ref="E67:E80" si="6">LN(C67)</f>
        <v>4.0960098415411617</v>
      </c>
      <c r="F67" s="19">
        <f t="shared" si="5"/>
        <v>154000000</v>
      </c>
      <c r="G67" s="7">
        <v>60.1</v>
      </c>
      <c r="H67" s="19">
        <f t="shared" ref="H67:H81" si="7">G67^2</f>
        <v>3612.01</v>
      </c>
    </row>
    <row r="68" spans="1:8" x14ac:dyDescent="0.15">
      <c r="A68" s="7">
        <v>56.4</v>
      </c>
      <c r="B68" s="6">
        <v>126</v>
      </c>
      <c r="C68" s="50">
        <f t="shared" si="4"/>
        <v>56.4</v>
      </c>
      <c r="D68" s="19">
        <f t="shared" si="5"/>
        <v>126000</v>
      </c>
      <c r="E68" s="40">
        <f t="shared" si="6"/>
        <v>4.0324691585040133</v>
      </c>
      <c r="F68" s="19">
        <f t="shared" si="5"/>
        <v>126000000</v>
      </c>
      <c r="G68" s="7">
        <v>56.4</v>
      </c>
      <c r="H68" s="19">
        <f t="shared" si="7"/>
        <v>3180.96</v>
      </c>
    </row>
    <row r="69" spans="1:8" x14ac:dyDescent="0.15">
      <c r="A69" s="7">
        <v>68.5</v>
      </c>
      <c r="B69" s="6">
        <v>316</v>
      </c>
      <c r="C69" s="50">
        <f t="shared" si="4"/>
        <v>68.5</v>
      </c>
      <c r="D69" s="19">
        <f t="shared" si="5"/>
        <v>316000</v>
      </c>
      <c r="E69" s="40">
        <f t="shared" si="6"/>
        <v>4.2268337452681797</v>
      </c>
      <c r="F69" s="19">
        <f t="shared" si="5"/>
        <v>316000000</v>
      </c>
      <c r="G69" s="7">
        <v>68.5</v>
      </c>
      <c r="H69" s="19">
        <f t="shared" si="7"/>
        <v>4692.25</v>
      </c>
    </row>
    <row r="70" spans="1:8" x14ac:dyDescent="0.15">
      <c r="A70">
        <v>61</v>
      </c>
      <c r="B70">
        <v>92</v>
      </c>
      <c r="C70" s="50">
        <f t="shared" si="4"/>
        <v>61</v>
      </c>
      <c r="D70" s="19">
        <f t="shared" si="5"/>
        <v>92000</v>
      </c>
      <c r="E70" s="40">
        <f t="shared" si="6"/>
        <v>4.1108738641733114</v>
      </c>
      <c r="F70" s="19">
        <f t="shared" si="5"/>
        <v>92000000</v>
      </c>
      <c r="G70">
        <v>61</v>
      </c>
      <c r="H70" s="19">
        <f t="shared" si="7"/>
        <v>3721</v>
      </c>
    </row>
    <row r="71" spans="1:8" x14ac:dyDescent="0.15">
      <c r="A71">
        <v>70.400000000000006</v>
      </c>
      <c r="B71">
        <v>462</v>
      </c>
      <c r="C71" s="50">
        <f t="shared" si="4"/>
        <v>70.400000000000006</v>
      </c>
      <c r="D71" s="19">
        <f t="shared" si="5"/>
        <v>462000</v>
      </c>
      <c r="E71" s="40">
        <f t="shared" si="6"/>
        <v>4.2541932631639972</v>
      </c>
      <c r="F71" s="19">
        <f t="shared" si="5"/>
        <v>462000000</v>
      </c>
      <c r="G71">
        <v>70.400000000000006</v>
      </c>
      <c r="H71" s="19">
        <f t="shared" si="7"/>
        <v>4956.1600000000008</v>
      </c>
    </row>
    <row r="72" spans="1:8" x14ac:dyDescent="0.15">
      <c r="A72" s="7">
        <v>72.599999999999994</v>
      </c>
      <c r="B72" s="6">
        <v>1182</v>
      </c>
      <c r="C72" s="50">
        <f t="shared" si="4"/>
        <v>72.599999999999994</v>
      </c>
      <c r="D72" s="19">
        <f t="shared" si="5"/>
        <v>1182000</v>
      </c>
      <c r="E72" s="40">
        <f t="shared" si="6"/>
        <v>4.28496492183075</v>
      </c>
      <c r="F72" s="19">
        <f t="shared" si="5"/>
        <v>1182000000</v>
      </c>
      <c r="G72" s="7">
        <v>72.599999999999994</v>
      </c>
      <c r="H72" s="19">
        <f t="shared" si="7"/>
        <v>5270.7599999999993</v>
      </c>
    </row>
    <row r="73" spans="1:8" x14ac:dyDescent="0.15">
      <c r="A73" s="7">
        <v>84.1</v>
      </c>
      <c r="B73" s="6">
        <v>964</v>
      </c>
      <c r="C73" s="50">
        <f t="shared" si="4"/>
        <v>84.1</v>
      </c>
      <c r="D73" s="19">
        <f t="shared" si="5"/>
        <v>964000</v>
      </c>
      <c r="E73" s="40">
        <f t="shared" si="6"/>
        <v>4.4320065669789024</v>
      </c>
      <c r="F73" s="19">
        <f t="shared" si="5"/>
        <v>964000000</v>
      </c>
      <c r="G73" s="7">
        <v>84.1</v>
      </c>
      <c r="H73" s="19">
        <f t="shared" si="7"/>
        <v>7072.8099999999995</v>
      </c>
    </row>
    <row r="74" spans="1:8" x14ac:dyDescent="0.15">
      <c r="A74">
        <v>72.400000000000006</v>
      </c>
      <c r="B74">
        <v>332</v>
      </c>
      <c r="C74" s="50">
        <f t="shared" si="4"/>
        <v>72.400000000000006</v>
      </c>
      <c r="D74" s="19">
        <f t="shared" si="5"/>
        <v>332000</v>
      </c>
      <c r="E74" s="40">
        <f t="shared" si="6"/>
        <v>4.282206299391671</v>
      </c>
      <c r="F74" s="19">
        <f t="shared" si="5"/>
        <v>332000000</v>
      </c>
      <c r="G74">
        <v>72.400000000000006</v>
      </c>
      <c r="H74" s="19">
        <f t="shared" si="7"/>
        <v>5241.7600000000011</v>
      </c>
    </row>
    <row r="75" spans="1:8" x14ac:dyDescent="0.15">
      <c r="A75" s="7">
        <v>72.7</v>
      </c>
      <c r="B75" s="6">
        <v>1422</v>
      </c>
      <c r="C75" s="50">
        <f t="shared" si="4"/>
        <v>72.7</v>
      </c>
      <c r="D75" s="19">
        <f t="shared" si="5"/>
        <v>1422000</v>
      </c>
      <c r="E75" s="40">
        <f t="shared" si="6"/>
        <v>4.2863413845394733</v>
      </c>
      <c r="F75" s="19">
        <f t="shared" si="5"/>
        <v>1422000000</v>
      </c>
      <c r="G75" s="7">
        <v>72.7</v>
      </c>
      <c r="H75" s="19">
        <f t="shared" si="7"/>
        <v>5285.29</v>
      </c>
    </row>
    <row r="76" spans="1:8" x14ac:dyDescent="0.15">
      <c r="A76" s="7">
        <v>74.8</v>
      </c>
      <c r="B76" s="6">
        <v>1576</v>
      </c>
      <c r="C76" s="50">
        <f t="shared" si="4"/>
        <v>74.8</v>
      </c>
      <c r="D76" s="19">
        <f t="shared" si="5"/>
        <v>1576000</v>
      </c>
      <c r="E76" s="40">
        <f t="shared" si="6"/>
        <v>4.3148178849804317</v>
      </c>
      <c r="F76" s="19">
        <f t="shared" si="5"/>
        <v>1576000000</v>
      </c>
      <c r="G76" s="7">
        <v>74.8</v>
      </c>
      <c r="H76" s="19">
        <f t="shared" si="7"/>
        <v>5595.04</v>
      </c>
    </row>
    <row r="77" spans="1:8" x14ac:dyDescent="0.15">
      <c r="A77">
        <v>68.599999999999994</v>
      </c>
      <c r="B77">
        <v>538</v>
      </c>
      <c r="C77" s="50">
        <f t="shared" si="4"/>
        <v>68.599999999999994</v>
      </c>
      <c r="D77" s="19">
        <f t="shared" si="5"/>
        <v>538000</v>
      </c>
      <c r="E77" s="40">
        <f t="shared" si="6"/>
        <v>4.2282925347318399</v>
      </c>
      <c r="F77" s="19">
        <f t="shared" si="5"/>
        <v>538000000</v>
      </c>
      <c r="G77">
        <v>68.599999999999994</v>
      </c>
      <c r="H77" s="19">
        <f t="shared" si="7"/>
        <v>4705.9599999999991</v>
      </c>
    </row>
    <row r="78" spans="1:8" x14ac:dyDescent="0.15">
      <c r="A78" s="7">
        <v>72.400000000000006</v>
      </c>
      <c r="B78" s="6">
        <v>531</v>
      </c>
      <c r="C78" s="50">
        <f t="shared" si="4"/>
        <v>72.400000000000006</v>
      </c>
      <c r="D78" s="19">
        <f t="shared" si="5"/>
        <v>531000</v>
      </c>
      <c r="E78" s="40">
        <f t="shared" si="6"/>
        <v>4.282206299391671</v>
      </c>
      <c r="F78" s="19">
        <f t="shared" si="5"/>
        <v>531000000</v>
      </c>
      <c r="G78" s="7">
        <v>72.400000000000006</v>
      </c>
      <c r="H78" s="19">
        <f t="shared" si="7"/>
        <v>5241.7600000000011</v>
      </c>
    </row>
    <row r="79" spans="1:8" x14ac:dyDescent="0.15">
      <c r="A79" s="7">
        <v>68.7</v>
      </c>
      <c r="B79" s="6">
        <v>337</v>
      </c>
      <c r="C79" s="50">
        <f t="shared" si="4"/>
        <v>68.7</v>
      </c>
      <c r="D79" s="19">
        <f t="shared" si="5"/>
        <v>337000</v>
      </c>
      <c r="E79" s="40">
        <f t="shared" si="6"/>
        <v>4.2297491992283041</v>
      </c>
      <c r="F79" s="19">
        <f t="shared" si="5"/>
        <v>337000000</v>
      </c>
      <c r="G79" s="7">
        <v>68.7</v>
      </c>
      <c r="H79" s="19">
        <f t="shared" si="7"/>
        <v>4719.6900000000005</v>
      </c>
    </row>
    <row r="80" spans="1:8" x14ac:dyDescent="0.15">
      <c r="A80">
        <v>70</v>
      </c>
      <c r="B80">
        <v>827</v>
      </c>
      <c r="C80" s="50">
        <f t="shared" si="4"/>
        <v>70</v>
      </c>
      <c r="D80" s="19">
        <f t="shared" si="5"/>
        <v>827000</v>
      </c>
      <c r="E80" s="40">
        <f t="shared" si="6"/>
        <v>4.2484952420493594</v>
      </c>
      <c r="F80" s="19">
        <f t="shared" si="5"/>
        <v>827000000</v>
      </c>
      <c r="G80">
        <v>70</v>
      </c>
      <c r="H80" s="19">
        <f t="shared" si="7"/>
        <v>4900</v>
      </c>
    </row>
    <row r="81" spans="1:8" x14ac:dyDescent="0.15">
      <c r="A81">
        <v>80.5</v>
      </c>
      <c r="B81">
        <v>226</v>
      </c>
      <c r="C81" s="50">
        <f t="shared" si="4"/>
        <v>80.5</v>
      </c>
      <c r="D81" s="19">
        <f t="shared" si="5"/>
        <v>226000</v>
      </c>
      <c r="E81" s="40">
        <f>LN(C81)</f>
        <v>4.3882571844245177</v>
      </c>
      <c r="F81" s="19">
        <f t="shared" si="5"/>
        <v>226000000</v>
      </c>
      <c r="G81">
        <v>80.5</v>
      </c>
      <c r="H81" s="19">
        <f t="shared" si="7"/>
        <v>6480.25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2DF2494A031B4C9F1011121260F99F" ma:contentTypeVersion="23" ma:contentTypeDescription="Create a new document." ma:contentTypeScope="" ma:versionID="e843f70a4ca99c4a9f1939c83c095427">
  <xsd:schema xmlns:xsd="http://www.w3.org/2001/XMLSchema" xmlns:xs="http://www.w3.org/2001/XMLSchema" xmlns:p="http://schemas.microsoft.com/office/2006/metadata/properties" xmlns:ns3="6aca5c8d-d365-4fa2-943d-cbda2c70b84c" xmlns:ns4="bc404f70-6358-43f8-bc17-ac759a89fe38" targetNamespace="http://schemas.microsoft.com/office/2006/metadata/properties" ma:root="true" ma:fieldsID="3a526c7f33142122a720e8c5dc22e4a2" ns3:_="" ns4:_="">
    <xsd:import namespace="6aca5c8d-d365-4fa2-943d-cbda2c70b84c"/>
    <xsd:import namespace="bc404f70-6358-43f8-bc17-ac759a89fe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igrationWizId" minOccurs="0"/>
                <xsd:element ref="ns4:MigrationWizIdPermissions" minOccurs="0"/>
                <xsd:element ref="ns4:MigrationWizIdPermissionLevels" minOccurs="0"/>
                <xsd:element ref="ns4:MigrationWizIdDocumentLibraryPermissions" minOccurs="0"/>
                <xsd:element ref="ns4:MigrationWizIdSecurityGroups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ca5c8d-d365-4fa2-943d-cbda2c70b8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04f70-6358-43f8-bc17-ac759a89fe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igrationWizId" ma:index="13" nillable="true" ma:displayName="MigrationWizId" ma:internalName="MigrationWizId">
      <xsd:simpleType>
        <xsd:restriction base="dms:Text"/>
      </xsd:simpleType>
    </xsd:element>
    <xsd:element name="MigrationWizIdPermissions" ma:index="14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5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6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7" nillable="true" ma:displayName="MigrationWizIdSecurityGroups" ma:internalName="MigrationWizIdSecurityGroups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_activity" ma:index="27" nillable="true" ma:displayName="_activity" ma:hidden="true" ma:internalName="_activity">
      <xsd:simpleType>
        <xsd:restriction base="dms:Note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bc404f70-6358-43f8-bc17-ac759a89fe38" xsi:nil="true"/>
    <MigrationWizIdPermissionLevels xmlns="bc404f70-6358-43f8-bc17-ac759a89fe38" xsi:nil="true"/>
    <MigrationWizIdPermissions xmlns="bc404f70-6358-43f8-bc17-ac759a89fe38" xsi:nil="true"/>
    <MigrationWizIdDocumentLibraryPermissions xmlns="bc404f70-6358-43f8-bc17-ac759a89fe38" xsi:nil="true"/>
    <MigrationWizId xmlns="bc404f70-6358-43f8-bc17-ac759a89fe38" xsi:nil="true"/>
    <_activity xmlns="bc404f70-6358-43f8-bc17-ac759a89fe38" xsi:nil="true"/>
  </documentManagement>
</p:properties>
</file>

<file path=customXml/itemProps1.xml><?xml version="1.0" encoding="utf-8"?>
<ds:datastoreItem xmlns:ds="http://schemas.openxmlformats.org/officeDocument/2006/customXml" ds:itemID="{6BB316D6-B45E-4229-9D56-7B3FD6C003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ca5c8d-d365-4fa2-943d-cbda2c70b84c"/>
    <ds:schemaRef ds:uri="bc404f70-6358-43f8-bc17-ac759a89fe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9C5F54-DDD5-4CA3-9259-41B903562B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883D19-CEBB-4908-B961-B83FE0603185}">
  <ds:schemaRefs>
    <ds:schemaRef ds:uri="http://purl.org/dc/terms/"/>
    <ds:schemaRef ds:uri="http://www.w3.org/XML/1998/namespace"/>
    <ds:schemaRef ds:uri="6aca5c8d-d365-4fa2-943d-cbda2c70b84c"/>
    <ds:schemaRef ds:uri="http://purl.org/dc/dcmitype/"/>
    <ds:schemaRef ds:uri="http://purl.org/dc/elements/1.1/"/>
    <ds:schemaRef ds:uri="http://schemas.microsoft.com/office/2006/documentManagement/types"/>
    <ds:schemaRef ds:uri="bc404f70-6358-43f8-bc17-ac759a89fe3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Data</vt:lpstr>
      <vt:lpstr>4.a</vt:lpstr>
      <vt:lpstr>5</vt:lpstr>
      <vt:lpstr>Sample</vt:lpstr>
      <vt:lpstr>Sheet5</vt:lpstr>
      <vt:lpstr>sqr foot sales</vt:lpstr>
      <vt:lpstr>Sqr foot summary</vt:lpstr>
      <vt:lpstr>employee sales</vt:lpstr>
      <vt:lpstr>employee sales summary</vt:lpstr>
      <vt:lpstr>overhead sales summary</vt:lpstr>
      <vt:lpstr>overhead residual</vt:lpstr>
      <vt:lpstr>log residual</vt:lpstr>
      <vt:lpstr>Sheet11</vt:lpstr>
      <vt:lpstr>3a</vt:lpstr>
      <vt:lpstr>Sheet13</vt:lpstr>
      <vt:lpstr>ln overhead fixed</vt:lpstr>
      <vt:lpstr>Sheet15</vt:lpstr>
      <vt:lpstr>Sales by Overhead</vt:lpstr>
      <vt:lpstr>3a fixed</vt:lpstr>
      <vt:lpstr>Sheet3</vt:lpstr>
      <vt:lpstr>3b fixed</vt:lpstr>
      <vt:lpstr>overhead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Wilson</dc:creator>
  <cp:lastModifiedBy>Garvin, Kaden</cp:lastModifiedBy>
  <dcterms:created xsi:type="dcterms:W3CDTF">2024-02-03T05:05:25Z</dcterms:created>
  <dcterms:modified xsi:type="dcterms:W3CDTF">2025-12-15T09:04:14Z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0x010100912DF2494A031B4C9F1011121260F99F</vt:lpwstr>
  </property>
</Properties>
</file>